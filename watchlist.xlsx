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HP1\Desktop\Ankith\git\upstox\"/>
    </mc:Choice>
  </mc:AlternateContent>
  <xr:revisionPtr revIDLastSave="0" documentId="11_446D2E7CD45CD4375984EDB0412E083178FA5A26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tch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5" i="1"/>
  <c r="G5" i="1"/>
</calcChain>
</file>

<file path=xl/sharedStrings.xml><?xml version="1.0" encoding="utf-8"?>
<sst xmlns="http://schemas.openxmlformats.org/spreadsheetml/2006/main" count="304" uniqueCount="205">
  <si>
    <t>Upstox Watchlist</t>
  </si>
  <si>
    <t>Fill in the Symbol column (A) only, starting row 5, with NSE trading symbols (e.g. RELIANCE, TCS). Run update_excel.py to populate columns B-I via the Upstox LTP API. Do not edit columns B-I directly - they are overwritten on each run.</t>
  </si>
  <si>
    <t>Symbol</t>
  </si>
  <si>
    <t>Instrument Key</t>
  </si>
  <si>
    <t>LTP</t>
  </si>
  <si>
    <t>LTQ</t>
  </si>
  <si>
    <t>Volume</t>
  </si>
  <si>
    <t>Prev Close</t>
  </si>
  <si>
    <t>Change</t>
  </si>
  <si>
    <t>Change %</t>
  </si>
  <si>
    <t>Last Updated</t>
  </si>
  <si>
    <t>MAHKTECH</t>
  </si>
  <si>
    <t>NSE_EQ|INF769K01HS7</t>
  </si>
  <si>
    <t>2026-08-19 17:54:59</t>
  </si>
  <si>
    <t>HNGSNGBEES</t>
  </si>
  <si>
    <t>NSE_EQ|INF204KB19I1</t>
  </si>
  <si>
    <t>GSEC10IETF</t>
  </si>
  <si>
    <t>NSE_EQ|INF109KC18O0</t>
  </si>
  <si>
    <t>SETF10GILT</t>
  </si>
  <si>
    <t>NSE_EQ|INF200KA1JT1</t>
  </si>
  <si>
    <t>LTGILTBEES</t>
  </si>
  <si>
    <t>NSE_EQ|INF204KB1882</t>
  </si>
  <si>
    <t>LICNETFGSC</t>
  </si>
  <si>
    <t>NSE_EQ|INF767K01MV5</t>
  </si>
  <si>
    <t>GILT5YBEES</t>
  </si>
  <si>
    <t>NSE_EQ|INF204KC1030</t>
  </si>
  <si>
    <t>PVTBANIETF</t>
  </si>
  <si>
    <t>NSE_EQ|INF109KC18U7</t>
  </si>
  <si>
    <t>PVTBANKADD</t>
  </si>
  <si>
    <t>NSE_EQ|INF740KA1TA7</t>
  </si>
  <si>
    <t>CONSUMBEES</t>
  </si>
  <si>
    <t>NSE_EQ|INF204KA1LD7</t>
  </si>
  <si>
    <t>ALPHAETF</t>
  </si>
  <si>
    <t>NSE_EQ|INF769K01KU7</t>
  </si>
  <si>
    <t>HDFCMOMENT</t>
  </si>
  <si>
    <t>NSE_EQ|INF179KC1HV6</t>
  </si>
  <si>
    <t>HDFCPVTBAN</t>
  </si>
  <si>
    <t>NSE_EQ|INF179KC1HZ7</t>
  </si>
  <si>
    <t>BFSI</t>
  </si>
  <si>
    <t>NSE_EQ|INF769K01HI8</t>
  </si>
  <si>
    <t>BANKBEES</t>
  </si>
  <si>
    <t>NSE_EQ|INF204KB15I9</t>
  </si>
  <si>
    <t>MOM30IETF</t>
  </si>
  <si>
    <t>NSE_EQ|INF109KC17C7</t>
  </si>
  <si>
    <t>BANKIETF</t>
  </si>
  <si>
    <t>NSE_EQ|INF109KC15I8</t>
  </si>
  <si>
    <t>MOREALTY</t>
  </si>
  <si>
    <t>NSE_EQ|INF247L01CI4</t>
  </si>
  <si>
    <t>HDFCNIFBAN</t>
  </si>
  <si>
    <t>NSE_EQ|INF179KC1HY0</t>
  </si>
  <si>
    <t>IVZINNIFTY</t>
  </si>
  <si>
    <t>NSE_EQ|INF205KA1CC7</t>
  </si>
  <si>
    <t>BANKNIFTY1</t>
  </si>
  <si>
    <t>NSE_EQ|INF174KA1ZB7</t>
  </si>
  <si>
    <t>UTIBANKETF</t>
  </si>
  <si>
    <t>NOT FOUND</t>
  </si>
  <si>
    <t>MOMOMENTUM</t>
  </si>
  <si>
    <t>NSE_EQ|INF247L01BK2</t>
  </si>
  <si>
    <t>MOMENTUM</t>
  </si>
  <si>
    <t>NSE_EQ|INF209KB14K7</t>
  </si>
  <si>
    <t>PSUBNKBEES</t>
  </si>
  <si>
    <t>NSE_EQ|INF204KB16I7</t>
  </si>
  <si>
    <t>PSUBNKIETF</t>
  </si>
  <si>
    <t>NSE_EQ|INF109KC10S8</t>
  </si>
  <si>
    <t>NIF5GETF</t>
  </si>
  <si>
    <t>MOHEALTH</t>
  </si>
  <si>
    <t>NSE_EQ|INF247L01BB1</t>
  </si>
  <si>
    <t>FMCGIETF</t>
  </si>
  <si>
    <t>NSE_EQ|INF109KC19V3</t>
  </si>
  <si>
    <t>HEALTHIETF</t>
  </si>
  <si>
    <t>NSE_EQ|INF109KC1Q72</t>
  </si>
  <si>
    <t>MIDSMALL</t>
  </si>
  <si>
    <t>NSE_EQ|INF769K01LJ8</t>
  </si>
  <si>
    <t>BSE500IETF</t>
  </si>
  <si>
    <t>NSE_EQ|INF109KC1V59</t>
  </si>
  <si>
    <t>HDFCPSUBK</t>
  </si>
  <si>
    <t>NSE_EQ|INF179KC1HW4</t>
  </si>
  <si>
    <t>MASPTOP50</t>
  </si>
  <si>
    <t>NSE_EQ|INF769K01HP3</t>
  </si>
  <si>
    <t>MONQ50</t>
  </si>
  <si>
    <t>NSE_EQ|INF247L01AU3</t>
  </si>
  <si>
    <t>AUTOIETF</t>
  </si>
  <si>
    <t>NSE_EQ|INF109KC10V2</t>
  </si>
  <si>
    <t>HDFCNIFTY</t>
  </si>
  <si>
    <t>NSE_EQ|INF179KC1965</t>
  </si>
  <si>
    <t>AUTOBEES</t>
  </si>
  <si>
    <t>NSE_EQ|INF204KC1337</t>
  </si>
  <si>
    <t>NIFTYBEES</t>
  </si>
  <si>
    <t>NSE_EQ|INF204KB14I2</t>
  </si>
  <si>
    <t>NIFTYIETF</t>
  </si>
  <si>
    <t>NSE_EQ|INF109K012R6</t>
  </si>
  <si>
    <t>SETFNIF50</t>
  </si>
  <si>
    <t>NSE_EQ|INF200KA1FS1</t>
  </si>
  <si>
    <t>HEALTHY</t>
  </si>
  <si>
    <t>NSE_EQ|INF209KB10C2</t>
  </si>
  <si>
    <t>BSLNIFTY</t>
  </si>
  <si>
    <t>NSE_EQ|INF209KB19D1</t>
  </si>
  <si>
    <t>NIFTYETF</t>
  </si>
  <si>
    <t>NSE_EQ|INF769K01EG9</t>
  </si>
  <si>
    <t>UTINIFTETF</t>
  </si>
  <si>
    <t>HDFCSENSEX</t>
  </si>
  <si>
    <t>NSE_EQ|INF179KC1HX2</t>
  </si>
  <si>
    <t>MON100</t>
  </si>
  <si>
    <t>NSE_EQ|INF247L01AP3</t>
  </si>
  <si>
    <t>MONIFTY500</t>
  </si>
  <si>
    <t>NSE_EQ|INF247L01BU1</t>
  </si>
  <si>
    <t>NIFTY1</t>
  </si>
  <si>
    <t>NSE_EQ|INF174K014P6</t>
  </si>
  <si>
    <t>TOP100CASE</t>
  </si>
  <si>
    <t>NSE_EQ|INF0R8F01067</t>
  </si>
  <si>
    <t>NIF100IETF</t>
  </si>
  <si>
    <t>NSE_EQ|INF109KC16V9</t>
  </si>
  <si>
    <t>LOWVOLIETF</t>
  </si>
  <si>
    <t>NSE_EQ|INF109KC19U5</t>
  </si>
  <si>
    <t>ALPL30IETF</t>
  </si>
  <si>
    <t>NSE_EQ|INF109KC17V7</t>
  </si>
  <si>
    <t>JUNIORBEES</t>
  </si>
  <si>
    <t>NSE_EQ|INF732E01045</t>
  </si>
  <si>
    <t>HDFCBSE500</t>
  </si>
  <si>
    <t>NSE_EQ|INF179KC1EZ4</t>
  </si>
  <si>
    <t>HDFCSML250</t>
  </si>
  <si>
    <t>NSE_EQ|INF179KC1FB2</t>
  </si>
  <si>
    <t>HDFCLOWVOL</t>
  </si>
  <si>
    <t>NSE_EQ|INF179KC1HU8</t>
  </si>
  <si>
    <t>INFRAIETF</t>
  </si>
  <si>
    <t>NSE_EQ|INF109KC16E5</t>
  </si>
  <si>
    <t>ESG</t>
  </si>
  <si>
    <t>NSE_EQ|INF769K01GS9</t>
  </si>
  <si>
    <t>MIDCAP</t>
  </si>
  <si>
    <t>NSE_EQ|INF174KA1ZC5</t>
  </si>
  <si>
    <t>MNC</t>
  </si>
  <si>
    <t>NSE_EQ|INF174KA1JF2</t>
  </si>
  <si>
    <t>HDFCNIF100</t>
  </si>
  <si>
    <t>NSE_EQ|INF179KC1HR4</t>
  </si>
  <si>
    <t>MOM100</t>
  </si>
  <si>
    <t>NSE_EQ|INF247L01023</t>
  </si>
  <si>
    <t>PHARMABEES</t>
  </si>
  <si>
    <t>NSE_EQ|INF204KC1089</t>
  </si>
  <si>
    <t>NEXT50IETF</t>
  </si>
  <si>
    <t>NSE_EQ|INF109KC1NS5</t>
  </si>
  <si>
    <t>MOSMALL250</t>
  </si>
  <si>
    <t>NSE_EQ|INF247L01CH6</t>
  </si>
  <si>
    <t>HDFCMID150</t>
  </si>
  <si>
    <t>NSE_EQ|INF179KC1HT0</t>
  </si>
  <si>
    <t>CPSEETF</t>
  </si>
  <si>
    <t>NSE_EQ|INF457M01133</t>
  </si>
  <si>
    <t>FINIETF</t>
  </si>
  <si>
    <t>NSE_EQ|INF109KC17L8</t>
  </si>
  <si>
    <t>ICICIB22</t>
  </si>
  <si>
    <t>NSE_EQ|INF109KB15Y7</t>
  </si>
  <si>
    <t>MODEFENCE</t>
  </si>
  <si>
    <t>NSE_EQ|INF247L01DJ0</t>
  </si>
  <si>
    <t>SMALLCAP</t>
  </si>
  <si>
    <t>NSE_EQ|INF769K01LC3</t>
  </si>
  <si>
    <t>MIDSELIETF</t>
  </si>
  <si>
    <t>NSE_EQ|INF109KC10W0</t>
  </si>
  <si>
    <t>MID150BEES</t>
  </si>
  <si>
    <t>NSE_EQ|INF204KB1V68</t>
  </si>
  <si>
    <t>MID150CASE</t>
  </si>
  <si>
    <t>NSE_EQ|INF0R8F01059</t>
  </si>
  <si>
    <t>MIDCAPETF</t>
  </si>
  <si>
    <t>NSE_EQ|INF769K01IC9</t>
  </si>
  <si>
    <t>INFRABEES</t>
  </si>
  <si>
    <t>NSE_EQ|INF732E01268</t>
  </si>
  <si>
    <t>HDFCNEXT50</t>
  </si>
  <si>
    <t>NSE_EQ|INF179KC1HS2</t>
  </si>
  <si>
    <t>MIDCAPIETF</t>
  </si>
  <si>
    <t>NSE_EQ|INF109KC11W8</t>
  </si>
  <si>
    <t>UTINEXT50</t>
  </si>
  <si>
    <t>SETFNN50</t>
  </si>
  <si>
    <t>NSE_EQ|INF200KA1598</t>
  </si>
  <si>
    <t>ABSLNN50ET</t>
  </si>
  <si>
    <t>NSE_EQ|INF209KB16D7</t>
  </si>
  <si>
    <t>SBINEQWETF</t>
  </si>
  <si>
    <t>NSE_EQ|INF200KB1282</t>
  </si>
  <si>
    <t>OILIETF</t>
  </si>
  <si>
    <t>NSE_EQ|INF109KC18W3</t>
  </si>
  <si>
    <t>NIFTYQLITY</t>
  </si>
  <si>
    <t>NSE_EQ|INF209KB15K4</t>
  </si>
  <si>
    <t>NV20IETF</t>
  </si>
  <si>
    <t>NSE_EQ|INF109KC11V0</t>
  </si>
  <si>
    <t>NV20</t>
  </si>
  <si>
    <t>NSE_EQ|INF174KA1ZE1</t>
  </si>
  <si>
    <t>MAKEINDIA</t>
  </si>
  <si>
    <t>NSE_EQ|INF769K01IB1</t>
  </si>
  <si>
    <t>ABSLPSE</t>
  </si>
  <si>
    <t>NSE_EQ|INF209KB19Z4</t>
  </si>
  <si>
    <t>QUAL30IETF</t>
  </si>
  <si>
    <t>NSE_EQ|INF109KC18V5</t>
  </si>
  <si>
    <t>GROWWEV</t>
  </si>
  <si>
    <t>NSE_EQ|INF666M01IH2</t>
  </si>
  <si>
    <t>EVINDIA</t>
  </si>
  <si>
    <t>NSE_EQ|INF769K01LQ3</t>
  </si>
  <si>
    <t>COMMOIETF</t>
  </si>
  <si>
    <t>NSE_EQ|INF109KC19O8</t>
  </si>
  <si>
    <t>TNIDETF</t>
  </si>
  <si>
    <t>NSE_EQ|INF277KA1364</t>
  </si>
  <si>
    <t>MOVALUE</t>
  </si>
  <si>
    <t>NSE_EQ|INF247L01BE5</t>
  </si>
  <si>
    <t>DIVOPPBEES</t>
  </si>
  <si>
    <t>NSE_EQ|INF204KA1MS3</t>
  </si>
  <si>
    <t>ITIETF</t>
  </si>
  <si>
    <t>NSE_EQ|INF109KC16I6</t>
  </si>
  <si>
    <t>HDFCNIFIT</t>
  </si>
  <si>
    <t>NSE_EQ|INF179KC1IA8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</si>
</sst>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;\-\₹#,##0.00;\-"/>
    <numFmt numFmtId="165" formatCode="0.00%;\(0.00%\);\-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name val="Arial"/>
    </font>
    <font>
      <b/>
      <sz val="10"/>
      <color rgb="FFFFFFFF"/>
      <name val="Arial"/>
    </font>
    <font>
      <sz val="10"/>
      <name val="Arial"/>
    </font>
    <font>
      <sz val="10"/>
      <name val="Arial"/>
      <family val="2"/>
    </font>
    <font>
      <sz val="12"/>
      <color theme="1"/>
      <name val="Oswald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0" xfId="0" applyFont="1" applyFill="1" applyAlignment="1">
      <alignment horizontal="center"/>
    </xf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165" fontId="4" fillId="0" borderId="0" xfId="0" applyNumberFormat="1" applyFont="1"/>
    <xf numFmtId="0" fontId="5" fillId="0" borderId="0" xfId="0" applyFont="1"/>
    <xf numFmtId="0" fontId="6" fillId="0" borderId="1" xfId="0" applyFont="1" applyBorder="1" applyAlignment="1">
      <alignment wrapText="1"/>
    </xf>
    <xf numFmtId="0" fontId="1" fillId="0" borderId="0" xfId="0" applyFont="1"/>
    <xf numFmtId="0" fontId="0" fillId="0" borderId="0" xfId="0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tabSelected="1" workbookViewId="0">
      <pane ySplit="4" topLeftCell="A29" activePane="bottomLeft" state="frozen"/>
      <selection pane="bottomLeft" activeCell="F37" sqref="F37"/>
    </sheetView>
  </sheetViews>
  <sheetFormatPr defaultRowHeight="14.4" x14ac:dyDescent="0.3"/>
  <cols>
    <col min="1" max="1" width="14" customWidth="1"/>
    <col min="2" max="2" width="22" customWidth="1"/>
    <col min="3" max="3" width="12" customWidth="1"/>
    <col min="4" max="4" width="10" customWidth="1"/>
    <col min="5" max="8" width="12" customWidth="1"/>
    <col min="9" max="9" width="20" customWidth="1"/>
  </cols>
  <sheetData>
    <row r="1" spans="1:9" ht="17.399999999999999" customHeight="1" x14ac:dyDescent="0.3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ht="30" customHeight="1" x14ac:dyDescent="0.3">
      <c r="A2" s="10" t="s">
        <v>1</v>
      </c>
      <c r="B2" s="9"/>
      <c r="C2" s="9"/>
      <c r="D2" s="9"/>
      <c r="E2" s="9"/>
      <c r="F2" s="9"/>
      <c r="G2" s="9"/>
      <c r="H2" s="9"/>
      <c r="I2" s="9"/>
    </row>
    <row r="4" spans="1:9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15" customHeight="1" thickBot="1" x14ac:dyDescent="0.35">
      <c r="A5" s="6" t="s">
        <v>11</v>
      </c>
      <c r="B5" s="2" t="s">
        <v>12</v>
      </c>
      <c r="C5" s="3">
        <v>23.23</v>
      </c>
      <c r="D5" s="4">
        <v>8</v>
      </c>
      <c r="E5" s="4">
        <v>937285</v>
      </c>
      <c r="F5" s="3">
        <v>23.1</v>
      </c>
      <c r="G5" s="3">
        <f>IF(A5="","",C5-F5)</f>
        <v>0.12999999999999901</v>
      </c>
      <c r="H5" s="5">
        <f>IF(OR(A5="",F5=0),"",(C5-F5)/F5)</f>
        <v>5.6277056277055839E-3</v>
      </c>
      <c r="I5" s="2" t="s">
        <v>13</v>
      </c>
    </row>
    <row r="6" spans="1:9" ht="26.4" customHeight="1" thickBot="1" x14ac:dyDescent="0.85">
      <c r="A6" s="7" t="s">
        <v>14</v>
      </c>
      <c r="B6" s="2" t="s">
        <v>15</v>
      </c>
      <c r="C6" s="3">
        <v>479.5</v>
      </c>
      <c r="D6" s="4">
        <v>2</v>
      </c>
      <c r="E6" s="4">
        <v>77201</v>
      </c>
      <c r="F6" s="3">
        <v>481.22</v>
      </c>
      <c r="G6" s="3"/>
      <c r="H6" s="5"/>
      <c r="I6" s="2" t="s">
        <v>13</v>
      </c>
    </row>
    <row r="7" spans="1:9" ht="26.4" customHeight="1" thickBot="1" x14ac:dyDescent="0.85">
      <c r="A7" s="7" t="s">
        <v>16</v>
      </c>
      <c r="B7" s="2" t="s">
        <v>17</v>
      </c>
      <c r="C7" s="3">
        <v>266.89</v>
      </c>
      <c r="D7" s="4">
        <v>9</v>
      </c>
      <c r="E7" s="4">
        <v>575</v>
      </c>
      <c r="F7" s="3">
        <v>265.49</v>
      </c>
      <c r="G7" s="3"/>
      <c r="H7" s="5"/>
      <c r="I7" s="2" t="s">
        <v>13</v>
      </c>
    </row>
    <row r="8" spans="1:9" ht="26.4" customHeight="1" thickBot="1" x14ac:dyDescent="0.85">
      <c r="A8" s="7" t="s">
        <v>18</v>
      </c>
      <c r="B8" s="2" t="s">
        <v>19</v>
      </c>
      <c r="C8" s="3">
        <v>265.39999999999998</v>
      </c>
      <c r="D8" s="4">
        <v>41</v>
      </c>
      <c r="E8" s="4">
        <v>284</v>
      </c>
      <c r="F8" s="3">
        <v>265.39</v>
      </c>
      <c r="G8" s="3">
        <f t="shared" ref="G8:G39" si="0">IF(A8="","",C8-F8)</f>
        <v>9.9999999999909051E-3</v>
      </c>
      <c r="H8" s="5">
        <f t="shared" ref="H8:H39" si="1">IF(OR(A8="",F8=0),"",(C8-F8)/F8)</f>
        <v>3.7680394890504185E-5</v>
      </c>
      <c r="I8" s="2" t="s">
        <v>13</v>
      </c>
    </row>
    <row r="9" spans="1:9" ht="26.4" customHeight="1" thickBot="1" x14ac:dyDescent="0.85">
      <c r="A9" s="7" t="s">
        <v>20</v>
      </c>
      <c r="B9" s="2" t="s">
        <v>21</v>
      </c>
      <c r="C9" s="3">
        <v>30.04</v>
      </c>
      <c r="D9" s="4">
        <v>3000</v>
      </c>
      <c r="E9" s="4">
        <v>561225</v>
      </c>
      <c r="F9" s="3">
        <v>30.02</v>
      </c>
      <c r="G9" s="3">
        <f t="shared" si="0"/>
        <v>1.9999999999999574E-2</v>
      </c>
      <c r="H9" s="5">
        <f t="shared" si="1"/>
        <v>6.6622251832110506E-4</v>
      </c>
      <c r="I9" s="2" t="s">
        <v>13</v>
      </c>
    </row>
    <row r="10" spans="1:9" ht="26.4" customHeight="1" thickBot="1" x14ac:dyDescent="0.85">
      <c r="A10" s="7" t="s">
        <v>22</v>
      </c>
      <c r="B10" s="2" t="s">
        <v>23</v>
      </c>
      <c r="C10" s="3">
        <v>29.9</v>
      </c>
      <c r="D10" s="4">
        <v>3</v>
      </c>
      <c r="E10" s="4">
        <v>68488</v>
      </c>
      <c r="F10" s="3">
        <v>29.51</v>
      </c>
      <c r="G10" s="3">
        <f t="shared" si="0"/>
        <v>0.38999999999999702</v>
      </c>
      <c r="H10" s="5">
        <f t="shared" si="1"/>
        <v>1.3215859030836902E-2</v>
      </c>
      <c r="I10" s="2" t="s">
        <v>13</v>
      </c>
    </row>
    <row r="11" spans="1:9" ht="26.4" customHeight="1" thickBot="1" x14ac:dyDescent="0.85">
      <c r="A11" s="7" t="s">
        <v>24</v>
      </c>
      <c r="B11" s="2" t="s">
        <v>25</v>
      </c>
      <c r="C11" s="3">
        <v>66.27</v>
      </c>
      <c r="D11" s="4">
        <v>771</v>
      </c>
      <c r="E11" s="4">
        <v>69863</v>
      </c>
      <c r="F11" s="3">
        <v>66.23</v>
      </c>
      <c r="G11" s="3">
        <f t="shared" si="0"/>
        <v>3.9999999999992042E-2</v>
      </c>
      <c r="H11" s="5">
        <f t="shared" si="1"/>
        <v>6.0395591121836084E-4</v>
      </c>
      <c r="I11" s="2" t="s">
        <v>13</v>
      </c>
    </row>
    <row r="12" spans="1:9" ht="26.4" customHeight="1" thickBot="1" x14ac:dyDescent="0.85">
      <c r="A12" s="7" t="s">
        <v>26</v>
      </c>
      <c r="B12" s="2" t="s">
        <v>27</v>
      </c>
      <c r="C12" s="3">
        <v>27.65</v>
      </c>
      <c r="D12" s="4">
        <v>100</v>
      </c>
      <c r="E12" s="4">
        <v>1210942</v>
      </c>
      <c r="F12" s="3">
        <v>27.67</v>
      </c>
      <c r="G12" s="3">
        <f t="shared" si="0"/>
        <v>-2.0000000000003126E-2</v>
      </c>
      <c r="H12" s="5">
        <f t="shared" si="1"/>
        <v>-7.2280448138789749E-4</v>
      </c>
      <c r="I12" s="2" t="s">
        <v>13</v>
      </c>
    </row>
    <row r="13" spans="1:9" ht="26.4" customHeight="1" thickBot="1" x14ac:dyDescent="0.85">
      <c r="A13" s="7" t="s">
        <v>28</v>
      </c>
      <c r="B13" s="2" t="s">
        <v>29</v>
      </c>
      <c r="C13" s="3">
        <v>27.82</v>
      </c>
      <c r="D13" s="4">
        <v>314</v>
      </c>
      <c r="E13" s="4">
        <v>44088</v>
      </c>
      <c r="F13" s="3">
        <v>27.82</v>
      </c>
      <c r="G13" s="3">
        <f t="shared" si="0"/>
        <v>0</v>
      </c>
      <c r="H13" s="5">
        <f t="shared" si="1"/>
        <v>0</v>
      </c>
      <c r="I13" s="2" t="s">
        <v>13</v>
      </c>
    </row>
    <row r="14" spans="1:9" ht="26.4" customHeight="1" thickBot="1" x14ac:dyDescent="0.85">
      <c r="A14" s="7" t="s">
        <v>30</v>
      </c>
      <c r="B14" s="2" t="s">
        <v>31</v>
      </c>
      <c r="C14" s="3">
        <v>133</v>
      </c>
      <c r="D14" s="4">
        <v>78</v>
      </c>
      <c r="E14" s="4">
        <v>41453</v>
      </c>
      <c r="F14" s="3">
        <v>134.19999999999999</v>
      </c>
      <c r="G14" s="3">
        <f t="shared" si="0"/>
        <v>-1.1999999999999886</v>
      </c>
      <c r="H14" s="5">
        <f t="shared" si="1"/>
        <v>-8.9418777943367275E-3</v>
      </c>
      <c r="I14" s="2" t="s">
        <v>13</v>
      </c>
    </row>
    <row r="15" spans="1:9" ht="26.4" customHeight="1" thickBot="1" x14ac:dyDescent="0.85">
      <c r="A15" s="7" t="s">
        <v>32</v>
      </c>
      <c r="B15" s="2" t="s">
        <v>33</v>
      </c>
      <c r="C15" s="3">
        <v>26.45</v>
      </c>
      <c r="D15" s="4">
        <v>5</v>
      </c>
      <c r="E15" s="4">
        <v>341006</v>
      </c>
      <c r="F15" s="3">
        <v>26.79</v>
      </c>
      <c r="G15" s="3">
        <f t="shared" si="0"/>
        <v>-0.33999999999999986</v>
      </c>
      <c r="H15" s="5">
        <f t="shared" si="1"/>
        <v>-1.2691302724897345E-2</v>
      </c>
      <c r="I15" s="2" t="s">
        <v>13</v>
      </c>
    </row>
    <row r="16" spans="1:9" ht="26.4" customHeight="1" thickBot="1" x14ac:dyDescent="0.85">
      <c r="A16" s="7" t="s">
        <v>34</v>
      </c>
      <c r="B16" s="2" t="s">
        <v>35</v>
      </c>
      <c r="C16" s="3">
        <v>31.18</v>
      </c>
      <c r="D16" s="4">
        <v>30</v>
      </c>
      <c r="E16" s="4">
        <v>207377</v>
      </c>
      <c r="F16" s="3">
        <v>31.42</v>
      </c>
      <c r="G16" s="3">
        <f t="shared" si="0"/>
        <v>-0.24000000000000199</v>
      </c>
      <c r="H16" s="5">
        <f t="shared" si="1"/>
        <v>-7.6384468491407379E-3</v>
      </c>
      <c r="I16" s="2" t="s">
        <v>13</v>
      </c>
    </row>
    <row r="17" spans="1:9" ht="26.4" customHeight="1" thickBot="1" x14ac:dyDescent="0.85">
      <c r="A17" s="7" t="s">
        <v>36</v>
      </c>
      <c r="B17" s="2" t="s">
        <v>37</v>
      </c>
      <c r="C17" s="3">
        <v>27.92</v>
      </c>
      <c r="D17" s="4">
        <v>525</v>
      </c>
      <c r="E17" s="4">
        <v>222559</v>
      </c>
      <c r="F17" s="3">
        <v>27.84</v>
      </c>
      <c r="G17" s="3">
        <f t="shared" si="0"/>
        <v>8.0000000000001847E-2</v>
      </c>
      <c r="H17" s="5">
        <f t="shared" si="1"/>
        <v>2.8735632183908709E-3</v>
      </c>
      <c r="I17" s="2" t="s">
        <v>13</v>
      </c>
    </row>
    <row r="18" spans="1:9" ht="26.4" customHeight="1" thickBot="1" x14ac:dyDescent="0.85">
      <c r="A18" s="7" t="s">
        <v>38</v>
      </c>
      <c r="B18" s="2" t="s">
        <v>39</v>
      </c>
      <c r="C18" s="3">
        <v>27.11</v>
      </c>
      <c r="D18" s="4">
        <v>25</v>
      </c>
      <c r="E18" s="4">
        <v>93175</v>
      </c>
      <c r="F18" s="3">
        <v>27.22</v>
      </c>
      <c r="G18" s="3">
        <f t="shared" si="0"/>
        <v>-0.10999999999999943</v>
      </c>
      <c r="H18" s="5">
        <f t="shared" si="1"/>
        <v>-4.0411462160176133E-3</v>
      </c>
      <c r="I18" s="2" t="s">
        <v>13</v>
      </c>
    </row>
    <row r="19" spans="1:9" ht="26.4" customHeight="1" thickBot="1" x14ac:dyDescent="0.85">
      <c r="A19" s="7" t="s">
        <v>40</v>
      </c>
      <c r="B19" s="2" t="s">
        <v>41</v>
      </c>
      <c r="C19" s="3">
        <v>592.70000000000005</v>
      </c>
      <c r="D19" s="4">
        <v>18</v>
      </c>
      <c r="E19" s="4">
        <v>360616</v>
      </c>
      <c r="F19" s="3">
        <v>594.86</v>
      </c>
      <c r="G19" s="3">
        <f t="shared" si="0"/>
        <v>-2.1599999999999682</v>
      </c>
      <c r="H19" s="5">
        <f t="shared" si="1"/>
        <v>-3.6311064788353028E-3</v>
      </c>
      <c r="I19" s="2" t="s">
        <v>13</v>
      </c>
    </row>
    <row r="20" spans="1:9" ht="26.4" customHeight="1" thickBot="1" x14ac:dyDescent="0.85">
      <c r="A20" s="7" t="s">
        <v>42</v>
      </c>
      <c r="B20" s="2" t="s">
        <v>43</v>
      </c>
      <c r="C20" s="3">
        <v>31.27</v>
      </c>
      <c r="D20" s="4">
        <v>50</v>
      </c>
      <c r="E20" s="4">
        <v>872216</v>
      </c>
      <c r="F20" s="3">
        <v>31.66</v>
      </c>
      <c r="G20" s="3">
        <f t="shared" si="0"/>
        <v>-0.39000000000000057</v>
      </c>
      <c r="H20" s="5">
        <f t="shared" si="1"/>
        <v>-1.2318382817435268E-2</v>
      </c>
      <c r="I20" s="2" t="s">
        <v>13</v>
      </c>
    </row>
    <row r="21" spans="1:9" ht="26.4" customHeight="1" thickBot="1" x14ac:dyDescent="0.85">
      <c r="A21" s="7" t="s">
        <v>44</v>
      </c>
      <c r="B21" s="2" t="s">
        <v>45</v>
      </c>
      <c r="C21" s="3">
        <v>58.82</v>
      </c>
      <c r="D21" s="4">
        <v>2</v>
      </c>
      <c r="E21" s="4">
        <v>340691</v>
      </c>
      <c r="F21" s="3">
        <v>58.98</v>
      </c>
      <c r="G21" s="3">
        <f t="shared" si="0"/>
        <v>-0.15999999999999659</v>
      </c>
      <c r="H21" s="5">
        <f t="shared" si="1"/>
        <v>-2.7127839945743745E-3</v>
      </c>
      <c r="I21" s="2" t="s">
        <v>13</v>
      </c>
    </row>
    <row r="22" spans="1:9" ht="26.4" customHeight="1" thickBot="1" x14ac:dyDescent="0.85">
      <c r="A22" s="7" t="s">
        <v>46</v>
      </c>
      <c r="B22" s="2" t="s">
        <v>47</v>
      </c>
      <c r="C22" s="3">
        <v>89.43</v>
      </c>
      <c r="D22" s="4">
        <v>1</v>
      </c>
      <c r="E22" s="4">
        <v>471213</v>
      </c>
      <c r="F22" s="3">
        <v>90.43</v>
      </c>
      <c r="G22" s="3">
        <f t="shared" si="0"/>
        <v>-1</v>
      </c>
      <c r="H22" s="5">
        <f t="shared" si="1"/>
        <v>-1.1058277120424637E-2</v>
      </c>
      <c r="I22" s="2" t="s">
        <v>13</v>
      </c>
    </row>
    <row r="23" spans="1:9" ht="26.4" customHeight="1" thickBot="1" x14ac:dyDescent="0.85">
      <c r="A23" s="7" t="s">
        <v>48</v>
      </c>
      <c r="B23" s="2" t="s">
        <v>49</v>
      </c>
      <c r="C23" s="3">
        <v>58.88</v>
      </c>
      <c r="D23" s="4">
        <v>363</v>
      </c>
      <c r="E23" s="4">
        <v>312773</v>
      </c>
      <c r="F23" s="3">
        <v>59.23</v>
      </c>
      <c r="G23" s="3">
        <f t="shared" si="0"/>
        <v>-0.34999999999999432</v>
      </c>
      <c r="H23" s="5">
        <f t="shared" si="1"/>
        <v>-5.9091676515278463E-3</v>
      </c>
      <c r="I23" s="2" t="s">
        <v>13</v>
      </c>
    </row>
    <row r="24" spans="1:9" ht="26.4" customHeight="1" thickBot="1" x14ac:dyDescent="0.85">
      <c r="A24" s="7" t="s">
        <v>50</v>
      </c>
      <c r="B24" s="2" t="s">
        <v>51</v>
      </c>
      <c r="C24" s="3">
        <v>276.07</v>
      </c>
      <c r="D24" s="4">
        <v>90</v>
      </c>
      <c r="E24" s="4">
        <v>244</v>
      </c>
      <c r="F24" s="3">
        <v>277.58999999999997</v>
      </c>
      <c r="G24" s="3">
        <f t="shared" si="0"/>
        <v>-1.5199999999999818</v>
      </c>
      <c r="H24" s="5">
        <f t="shared" si="1"/>
        <v>-5.4757015742641375E-3</v>
      </c>
      <c r="I24" s="2" t="s">
        <v>13</v>
      </c>
    </row>
    <row r="25" spans="1:9" ht="26.4" customHeight="1" thickBot="1" x14ac:dyDescent="0.85">
      <c r="A25" s="7" t="s">
        <v>52</v>
      </c>
      <c r="B25" s="2" t="s">
        <v>53</v>
      </c>
      <c r="C25" s="3">
        <v>59.34</v>
      </c>
      <c r="D25" s="4">
        <v>1123</v>
      </c>
      <c r="E25" s="4">
        <v>422108</v>
      </c>
      <c r="F25" s="3">
        <v>59.63</v>
      </c>
      <c r="G25" s="3">
        <f t="shared" si="0"/>
        <v>-0.28999999999999915</v>
      </c>
      <c r="H25" s="5">
        <f t="shared" si="1"/>
        <v>-4.8633238302867535E-3</v>
      </c>
      <c r="I25" s="2" t="s">
        <v>13</v>
      </c>
    </row>
    <row r="26" spans="1:9" ht="26.4" customHeight="1" thickBot="1" x14ac:dyDescent="0.85">
      <c r="A26" s="7" t="s">
        <v>54</v>
      </c>
      <c r="B26" s="2" t="s">
        <v>55</v>
      </c>
      <c r="C26" s="3"/>
      <c r="D26" s="4"/>
      <c r="E26" s="4"/>
      <c r="F26" s="3"/>
      <c r="G26" s="3">
        <f t="shared" si="0"/>
        <v>0</v>
      </c>
      <c r="H26" s="5" t="str">
        <f t="shared" si="1"/>
        <v/>
      </c>
      <c r="I26" s="2"/>
    </row>
    <row r="27" spans="1:9" ht="26.4" customHeight="1" thickBot="1" x14ac:dyDescent="0.85">
      <c r="A27" s="7" t="s">
        <v>56</v>
      </c>
      <c r="B27" s="2" t="s">
        <v>57</v>
      </c>
      <c r="C27" s="3">
        <v>62.2</v>
      </c>
      <c r="D27" s="4">
        <v>205</v>
      </c>
      <c r="E27" s="4">
        <v>53710</v>
      </c>
      <c r="F27" s="3">
        <v>63.04</v>
      </c>
      <c r="G27" s="3">
        <f t="shared" si="0"/>
        <v>-0.83999999999999631</v>
      </c>
      <c r="H27" s="5">
        <f t="shared" si="1"/>
        <v>-1.3324873096446642E-2</v>
      </c>
      <c r="I27" s="2" t="s">
        <v>13</v>
      </c>
    </row>
    <row r="28" spans="1:9" ht="26.4" customHeight="1" thickBot="1" x14ac:dyDescent="0.85">
      <c r="A28" s="7" t="s">
        <v>58</v>
      </c>
      <c r="B28" s="2" t="s">
        <v>59</v>
      </c>
      <c r="C28" s="3">
        <v>31.25</v>
      </c>
      <c r="D28" s="4">
        <v>50</v>
      </c>
      <c r="E28" s="4">
        <v>163712</v>
      </c>
      <c r="F28" s="3">
        <v>31.47</v>
      </c>
      <c r="G28" s="3">
        <f t="shared" si="0"/>
        <v>-0.21999999999999886</v>
      </c>
      <c r="H28" s="5">
        <f t="shared" si="1"/>
        <v>-6.9907848744835991E-3</v>
      </c>
      <c r="I28" s="2" t="s">
        <v>13</v>
      </c>
    </row>
    <row r="29" spans="1:9" ht="26.4" customHeight="1" thickBot="1" x14ac:dyDescent="0.85">
      <c r="A29" s="7" t="s">
        <v>60</v>
      </c>
      <c r="B29" s="2" t="s">
        <v>61</v>
      </c>
      <c r="C29" s="3">
        <v>96.13</v>
      </c>
      <c r="D29" s="4">
        <v>3200</v>
      </c>
      <c r="E29" s="4">
        <v>875252</v>
      </c>
      <c r="F29" s="3">
        <v>96.52</v>
      </c>
      <c r="G29" s="3">
        <f t="shared" si="0"/>
        <v>-0.39000000000000057</v>
      </c>
      <c r="H29" s="5">
        <f t="shared" si="1"/>
        <v>-4.0406133443845896E-3</v>
      </c>
      <c r="I29" s="2" t="s">
        <v>13</v>
      </c>
    </row>
    <row r="30" spans="1:9" ht="26.4" customHeight="1" thickBot="1" x14ac:dyDescent="0.85">
      <c r="A30" s="7" t="s">
        <v>62</v>
      </c>
      <c r="B30" s="2" t="s">
        <v>63</v>
      </c>
      <c r="C30" s="3">
        <v>87.59</v>
      </c>
      <c r="D30" s="4">
        <v>3</v>
      </c>
      <c r="E30" s="4">
        <v>54357</v>
      </c>
      <c r="F30" s="3">
        <v>87.45</v>
      </c>
      <c r="G30" s="3">
        <f t="shared" si="0"/>
        <v>0.14000000000000057</v>
      </c>
      <c r="H30" s="5">
        <f t="shared" si="1"/>
        <v>1.6009148084619848E-3</v>
      </c>
      <c r="I30" s="2" t="s">
        <v>13</v>
      </c>
    </row>
    <row r="31" spans="1:9" ht="26.4" customHeight="1" thickBot="1" x14ac:dyDescent="0.85">
      <c r="A31" s="7" t="s">
        <v>64</v>
      </c>
      <c r="B31" s="2" t="s">
        <v>55</v>
      </c>
      <c r="C31" s="3"/>
      <c r="D31" s="4"/>
      <c r="E31" s="4"/>
      <c r="F31" s="3"/>
      <c r="G31" s="3">
        <f t="shared" si="0"/>
        <v>0</v>
      </c>
      <c r="H31" s="5" t="str">
        <f t="shared" si="1"/>
        <v/>
      </c>
      <c r="I31" s="2"/>
    </row>
    <row r="32" spans="1:9" ht="26.4" customHeight="1" thickBot="1" x14ac:dyDescent="0.85">
      <c r="A32" s="7" t="s">
        <v>65</v>
      </c>
      <c r="B32" s="2" t="s">
        <v>66</v>
      </c>
      <c r="C32" s="3">
        <v>51.4</v>
      </c>
      <c r="D32" s="4">
        <v>2</v>
      </c>
      <c r="E32" s="4">
        <v>27562</v>
      </c>
      <c r="F32" s="3">
        <v>51.46</v>
      </c>
      <c r="G32" s="3">
        <f t="shared" si="0"/>
        <v>-6.0000000000002274E-2</v>
      </c>
      <c r="H32" s="5">
        <f t="shared" si="1"/>
        <v>-1.1659541391372381E-3</v>
      </c>
      <c r="I32" s="2" t="s">
        <v>13</v>
      </c>
    </row>
    <row r="33" spans="1:9" ht="26.4" customHeight="1" thickBot="1" x14ac:dyDescent="0.85">
      <c r="A33" s="7" t="s">
        <v>67</v>
      </c>
      <c r="B33" s="2" t="s">
        <v>68</v>
      </c>
      <c r="C33" s="3">
        <v>51.17</v>
      </c>
      <c r="D33" s="4">
        <v>62</v>
      </c>
      <c r="E33" s="4">
        <v>1017354</v>
      </c>
      <c r="F33" s="3">
        <v>51.35</v>
      </c>
      <c r="G33" s="3">
        <f t="shared" si="0"/>
        <v>-0.17999999999999972</v>
      </c>
      <c r="H33" s="5">
        <f t="shared" si="1"/>
        <v>-3.5053554040895755E-3</v>
      </c>
      <c r="I33" s="2" t="s">
        <v>13</v>
      </c>
    </row>
    <row r="34" spans="1:9" ht="26.4" customHeight="1" thickBot="1" x14ac:dyDescent="0.85">
      <c r="A34" s="7" t="s">
        <v>69</v>
      </c>
      <c r="B34" s="2" t="s">
        <v>70</v>
      </c>
      <c r="C34" s="3">
        <v>169.24</v>
      </c>
      <c r="D34" s="4">
        <v>3</v>
      </c>
      <c r="E34" s="4">
        <v>56446</v>
      </c>
      <c r="F34" s="3">
        <v>168.95</v>
      </c>
      <c r="G34" s="3">
        <f t="shared" si="0"/>
        <v>0.29000000000002046</v>
      </c>
      <c r="H34" s="5">
        <f t="shared" si="1"/>
        <v>1.7164841669134092E-3</v>
      </c>
      <c r="I34" s="2" t="s">
        <v>13</v>
      </c>
    </row>
    <row r="35" spans="1:9" ht="26.4" customHeight="1" thickBot="1" x14ac:dyDescent="0.85">
      <c r="A35" s="7" t="s">
        <v>71</v>
      </c>
      <c r="B35" s="2" t="s">
        <v>72</v>
      </c>
      <c r="C35" s="3">
        <v>51.91</v>
      </c>
      <c r="D35" s="4">
        <v>30</v>
      </c>
      <c r="E35" s="4">
        <v>277258</v>
      </c>
      <c r="F35" s="3">
        <v>52.33</v>
      </c>
      <c r="G35" s="3">
        <f t="shared" si="0"/>
        <v>-0.42000000000000171</v>
      </c>
      <c r="H35" s="5">
        <f t="shared" si="1"/>
        <v>-8.0259889164915298E-3</v>
      </c>
      <c r="I35" s="2" t="s">
        <v>13</v>
      </c>
    </row>
    <row r="36" spans="1:9" ht="26.4" customHeight="1" thickBot="1" x14ac:dyDescent="0.85">
      <c r="A36" s="7" t="s">
        <v>73</v>
      </c>
      <c r="B36" s="2" t="s">
        <v>74</v>
      </c>
      <c r="C36" s="3">
        <v>39.619999999999997</v>
      </c>
      <c r="D36" s="4">
        <v>44</v>
      </c>
      <c r="E36" s="4">
        <v>85980</v>
      </c>
      <c r="F36" s="3">
        <v>39.9</v>
      </c>
      <c r="G36" s="3">
        <f t="shared" si="0"/>
        <v>-0.28000000000000114</v>
      </c>
      <c r="H36" s="5">
        <f t="shared" si="1"/>
        <v>-7.0175438596491516E-3</v>
      </c>
      <c r="I36" s="2" t="s">
        <v>13</v>
      </c>
    </row>
    <row r="37" spans="1:9" ht="26.4" customHeight="1" thickBot="1" x14ac:dyDescent="0.85">
      <c r="A37" s="7" t="s">
        <v>75</v>
      </c>
      <c r="B37" s="2" t="s">
        <v>76</v>
      </c>
      <c r="C37" s="3">
        <v>86.5</v>
      </c>
      <c r="D37" s="4">
        <v>1</v>
      </c>
      <c r="E37" s="4">
        <v>33934</v>
      </c>
      <c r="F37" s="3">
        <v>87.17</v>
      </c>
      <c r="G37" s="3">
        <f t="shared" si="0"/>
        <v>-0.67000000000000171</v>
      </c>
      <c r="H37" s="5">
        <f t="shared" si="1"/>
        <v>-7.6861305495009944E-3</v>
      </c>
      <c r="I37" s="2" t="s">
        <v>13</v>
      </c>
    </row>
    <row r="38" spans="1:9" ht="26.4" customHeight="1" thickBot="1" x14ac:dyDescent="0.85">
      <c r="A38" s="7" t="s">
        <v>77</v>
      </c>
      <c r="B38" s="2" t="s">
        <v>78</v>
      </c>
      <c r="C38" s="3">
        <v>80.83</v>
      </c>
      <c r="D38" s="4">
        <v>35</v>
      </c>
      <c r="E38" s="4">
        <v>94313</v>
      </c>
      <c r="F38" s="3">
        <v>81.02</v>
      </c>
      <c r="G38" s="3">
        <f t="shared" si="0"/>
        <v>-0.18999999999999773</v>
      </c>
      <c r="H38" s="5">
        <f t="shared" si="1"/>
        <v>-2.345099975314709E-3</v>
      </c>
      <c r="I38" s="2" t="s">
        <v>13</v>
      </c>
    </row>
    <row r="39" spans="1:9" ht="26.4" customHeight="1" thickBot="1" x14ac:dyDescent="0.85">
      <c r="A39" s="7" t="s">
        <v>79</v>
      </c>
      <c r="B39" s="2" t="s">
        <v>80</v>
      </c>
      <c r="C39" s="3">
        <v>151.65</v>
      </c>
      <c r="D39" s="4">
        <v>2</v>
      </c>
      <c r="E39" s="4">
        <v>134519</v>
      </c>
      <c r="F39" s="3">
        <v>151.19999999999999</v>
      </c>
      <c r="G39" s="3">
        <f t="shared" si="0"/>
        <v>0.45000000000001705</v>
      </c>
      <c r="H39" s="5">
        <f t="shared" si="1"/>
        <v>2.9761904761905892E-3</v>
      </c>
      <c r="I39" s="2" t="s">
        <v>13</v>
      </c>
    </row>
    <row r="40" spans="1:9" ht="26.4" customHeight="1" thickBot="1" x14ac:dyDescent="0.85">
      <c r="A40" s="7" t="s">
        <v>81</v>
      </c>
      <c r="B40" s="2" t="s">
        <v>82</v>
      </c>
      <c r="C40" s="3">
        <v>30.2</v>
      </c>
      <c r="D40" s="4">
        <v>2</v>
      </c>
      <c r="E40" s="4">
        <v>917682</v>
      </c>
      <c r="F40" s="3">
        <v>30.4</v>
      </c>
      <c r="G40" s="3">
        <f t="shared" ref="G40:G71" si="2">IF(A40="","",C40-F40)</f>
        <v>-0.19999999999999929</v>
      </c>
      <c r="H40" s="5">
        <f t="shared" ref="H40:H71" si="3">IF(OR(A40="",F40=0),"",(C40-F40)/F40)</f>
        <v>-6.5789473684210297E-3</v>
      </c>
      <c r="I40" s="2" t="s">
        <v>13</v>
      </c>
    </row>
    <row r="41" spans="1:9" ht="26.4" customHeight="1" thickBot="1" x14ac:dyDescent="0.85">
      <c r="A41" s="7" t="s">
        <v>83</v>
      </c>
      <c r="B41" s="2" t="s">
        <v>84</v>
      </c>
      <c r="C41" s="3">
        <v>271.89999999999998</v>
      </c>
      <c r="D41" s="4">
        <v>44</v>
      </c>
      <c r="E41" s="4">
        <v>59746</v>
      </c>
      <c r="F41" s="3">
        <v>273.20999999999998</v>
      </c>
      <c r="G41" s="3">
        <f t="shared" si="2"/>
        <v>-1.3100000000000023</v>
      </c>
      <c r="H41" s="5">
        <f t="shared" si="3"/>
        <v>-4.7948464551078014E-3</v>
      </c>
      <c r="I41" s="2" t="s">
        <v>13</v>
      </c>
    </row>
    <row r="42" spans="1:9" ht="26.4" customHeight="1" thickBot="1" x14ac:dyDescent="0.85">
      <c r="A42" s="7" t="s">
        <v>85</v>
      </c>
      <c r="B42" s="2" t="s">
        <v>86</v>
      </c>
      <c r="C42" s="3">
        <v>302.5</v>
      </c>
      <c r="D42" s="4">
        <v>2</v>
      </c>
      <c r="E42" s="4">
        <v>160307</v>
      </c>
      <c r="F42" s="3">
        <v>303.77</v>
      </c>
      <c r="G42" s="3">
        <f t="shared" si="2"/>
        <v>-1.2699999999999818</v>
      </c>
      <c r="H42" s="5">
        <f t="shared" si="3"/>
        <v>-4.1807946801856073E-3</v>
      </c>
      <c r="I42" s="2" t="s">
        <v>13</v>
      </c>
    </row>
    <row r="43" spans="1:9" ht="26.4" customHeight="1" thickBot="1" x14ac:dyDescent="0.85">
      <c r="A43" s="7" t="s">
        <v>87</v>
      </c>
      <c r="B43" s="2" t="s">
        <v>88</v>
      </c>
      <c r="C43" s="3">
        <v>274.62</v>
      </c>
      <c r="D43" s="4">
        <v>500</v>
      </c>
      <c r="E43" s="4">
        <v>6107344</v>
      </c>
      <c r="F43" s="3">
        <v>276.10000000000002</v>
      </c>
      <c r="G43" s="3">
        <f t="shared" si="2"/>
        <v>-1.4800000000000182</v>
      </c>
      <c r="H43" s="5">
        <f t="shared" si="3"/>
        <v>-5.3603766751177768E-3</v>
      </c>
      <c r="I43" s="2" t="s">
        <v>13</v>
      </c>
    </row>
    <row r="44" spans="1:9" ht="26.4" customHeight="1" thickBot="1" x14ac:dyDescent="0.85">
      <c r="A44" s="7" t="s">
        <v>89</v>
      </c>
      <c r="B44" s="2" t="s">
        <v>90</v>
      </c>
      <c r="C44" s="3">
        <v>273.41000000000003</v>
      </c>
      <c r="D44" s="4">
        <v>1</v>
      </c>
      <c r="E44" s="4">
        <v>474062</v>
      </c>
      <c r="F44" s="3">
        <v>274.60000000000002</v>
      </c>
      <c r="G44" s="3">
        <f t="shared" si="2"/>
        <v>-1.1899999999999977</v>
      </c>
      <c r="H44" s="5">
        <f t="shared" si="3"/>
        <v>-4.3335761107064739E-3</v>
      </c>
      <c r="I44" s="2" t="s">
        <v>13</v>
      </c>
    </row>
    <row r="45" spans="1:9" ht="26.4" customHeight="1" thickBot="1" x14ac:dyDescent="0.85">
      <c r="A45" s="7" t="s">
        <v>91</v>
      </c>
      <c r="B45" s="2" t="s">
        <v>92</v>
      </c>
      <c r="C45" s="3">
        <v>259.56</v>
      </c>
      <c r="D45" s="4">
        <v>5</v>
      </c>
      <c r="E45" s="4">
        <v>664464</v>
      </c>
      <c r="F45" s="3">
        <v>260.94</v>
      </c>
      <c r="G45" s="3">
        <f t="shared" si="2"/>
        <v>-1.3799999999999955</v>
      </c>
      <c r="H45" s="5">
        <f t="shared" si="3"/>
        <v>-5.2885720855368875E-3</v>
      </c>
      <c r="I45" s="2" t="s">
        <v>13</v>
      </c>
    </row>
    <row r="46" spans="1:9" ht="26.4" customHeight="1" thickBot="1" x14ac:dyDescent="0.85">
      <c r="A46" s="7" t="s">
        <v>93</v>
      </c>
      <c r="B46" s="2" t="s">
        <v>94</v>
      </c>
      <c r="C46" s="3">
        <v>16.95</v>
      </c>
      <c r="D46" s="4">
        <v>4340</v>
      </c>
      <c r="E46" s="4">
        <v>144930</v>
      </c>
      <c r="F46" s="3">
        <v>16.95</v>
      </c>
      <c r="G46" s="3">
        <f t="shared" si="2"/>
        <v>0</v>
      </c>
      <c r="H46" s="5">
        <f t="shared" si="3"/>
        <v>0</v>
      </c>
      <c r="I46" s="2" t="s">
        <v>13</v>
      </c>
    </row>
    <row r="47" spans="1:9" ht="26.4" customHeight="1" thickBot="1" x14ac:dyDescent="0.85">
      <c r="A47" s="7" t="s">
        <v>95</v>
      </c>
      <c r="B47" s="2" t="s">
        <v>96</v>
      </c>
      <c r="C47" s="3">
        <v>28.28</v>
      </c>
      <c r="D47" s="4">
        <v>5</v>
      </c>
      <c r="E47" s="4">
        <v>707466</v>
      </c>
      <c r="F47" s="3">
        <v>28.44</v>
      </c>
      <c r="G47" s="3">
        <f t="shared" si="2"/>
        <v>-0.16000000000000014</v>
      </c>
      <c r="H47" s="5">
        <f t="shared" si="3"/>
        <v>-5.625879043600567E-3</v>
      </c>
      <c r="I47" s="2" t="s">
        <v>13</v>
      </c>
    </row>
    <row r="48" spans="1:9" ht="26.4" customHeight="1" thickBot="1" x14ac:dyDescent="0.85">
      <c r="A48" s="7" t="s">
        <v>97</v>
      </c>
      <c r="B48" s="2" t="s">
        <v>98</v>
      </c>
      <c r="C48" s="3">
        <v>262.51</v>
      </c>
      <c r="D48" s="4">
        <v>400</v>
      </c>
      <c r="E48" s="4">
        <v>820285</v>
      </c>
      <c r="F48" s="3">
        <v>263.64999999999998</v>
      </c>
      <c r="G48" s="3">
        <f t="shared" si="2"/>
        <v>-1.1399999999999864</v>
      </c>
      <c r="H48" s="5">
        <f t="shared" si="3"/>
        <v>-4.3239142802957951E-3</v>
      </c>
      <c r="I48" s="2" t="s">
        <v>13</v>
      </c>
    </row>
    <row r="49" spans="1:9" ht="26.4" customHeight="1" thickBot="1" x14ac:dyDescent="0.85">
      <c r="A49" s="7" t="s">
        <v>99</v>
      </c>
      <c r="B49" s="2" t="s">
        <v>55</v>
      </c>
      <c r="C49" s="3"/>
      <c r="D49" s="4"/>
      <c r="E49" s="4"/>
      <c r="F49" s="3"/>
      <c r="G49" s="3">
        <f t="shared" si="2"/>
        <v>0</v>
      </c>
      <c r="H49" s="5" t="str">
        <f t="shared" si="3"/>
        <v/>
      </c>
      <c r="I49" s="2"/>
    </row>
    <row r="50" spans="1:9" ht="26.4" customHeight="1" thickBot="1" x14ac:dyDescent="0.85">
      <c r="A50" s="7" t="s">
        <v>100</v>
      </c>
      <c r="B50" s="2" t="s">
        <v>101</v>
      </c>
      <c r="C50" s="3">
        <v>87.72</v>
      </c>
      <c r="D50" s="4">
        <v>10</v>
      </c>
      <c r="E50" s="4">
        <v>24563</v>
      </c>
      <c r="F50" s="3">
        <v>87.77</v>
      </c>
      <c r="G50" s="3">
        <f t="shared" si="2"/>
        <v>-4.9999999999997158E-2</v>
      </c>
      <c r="H50" s="5">
        <f t="shared" si="3"/>
        <v>-5.6967073031784395E-4</v>
      </c>
      <c r="I50" s="2" t="s">
        <v>13</v>
      </c>
    </row>
    <row r="51" spans="1:9" ht="26.4" customHeight="1" thickBot="1" x14ac:dyDescent="0.85">
      <c r="A51" s="7" t="s">
        <v>102</v>
      </c>
      <c r="B51" s="2" t="s">
        <v>103</v>
      </c>
      <c r="C51" s="3">
        <v>336.38</v>
      </c>
      <c r="D51" s="4">
        <v>100</v>
      </c>
      <c r="E51" s="4">
        <v>966987</v>
      </c>
      <c r="F51" s="3">
        <v>336.33</v>
      </c>
      <c r="G51" s="3">
        <f t="shared" si="2"/>
        <v>5.0000000000011369E-2</v>
      </c>
      <c r="H51" s="5">
        <f t="shared" si="3"/>
        <v>1.4866351500018247E-4</v>
      </c>
      <c r="I51" s="2" t="s">
        <v>13</v>
      </c>
    </row>
    <row r="52" spans="1:9" ht="26.4" customHeight="1" thickBot="1" x14ac:dyDescent="0.85">
      <c r="A52" s="7" t="s">
        <v>104</v>
      </c>
      <c r="B52" s="2" t="s">
        <v>105</v>
      </c>
      <c r="C52" s="3">
        <v>24.03</v>
      </c>
      <c r="D52" s="4">
        <v>500</v>
      </c>
      <c r="E52" s="4">
        <v>554753</v>
      </c>
      <c r="F52" s="3">
        <v>24.16</v>
      </c>
      <c r="G52" s="3">
        <f t="shared" si="2"/>
        <v>-0.12999999999999901</v>
      </c>
      <c r="H52" s="5">
        <f t="shared" si="3"/>
        <v>-5.3807947019867139E-3</v>
      </c>
      <c r="I52" s="2" t="s">
        <v>13</v>
      </c>
    </row>
    <row r="53" spans="1:9" ht="26.4" customHeight="1" thickBot="1" x14ac:dyDescent="0.85">
      <c r="A53" s="7" t="s">
        <v>106</v>
      </c>
      <c r="B53" s="2" t="s">
        <v>107</v>
      </c>
      <c r="C53" s="3">
        <v>268.06</v>
      </c>
      <c r="D53" s="4">
        <v>1</v>
      </c>
      <c r="E53" s="4">
        <v>57562</v>
      </c>
      <c r="F53" s="3">
        <v>269.08999999999997</v>
      </c>
      <c r="G53" s="3">
        <f t="shared" si="2"/>
        <v>-1.0299999999999727</v>
      </c>
      <c r="H53" s="5">
        <f t="shared" si="3"/>
        <v>-3.8277156341743387E-3</v>
      </c>
      <c r="I53" s="2" t="s">
        <v>13</v>
      </c>
    </row>
    <row r="54" spans="1:9" ht="26.4" customHeight="1" thickBot="1" x14ac:dyDescent="0.85">
      <c r="A54" s="7" t="s">
        <v>108</v>
      </c>
      <c r="B54" s="2" t="s">
        <v>109</v>
      </c>
      <c r="C54" s="3">
        <v>10.62</v>
      </c>
      <c r="D54" s="4">
        <v>150</v>
      </c>
      <c r="E54" s="4">
        <v>575217</v>
      </c>
      <c r="F54" s="3">
        <v>10.69</v>
      </c>
      <c r="G54" s="3">
        <f t="shared" si="2"/>
        <v>-7.0000000000000284E-2</v>
      </c>
      <c r="H54" s="5">
        <f t="shared" si="3"/>
        <v>-6.5481758652946951E-3</v>
      </c>
      <c r="I54" s="2" t="s">
        <v>13</v>
      </c>
    </row>
    <row r="55" spans="1:9" ht="26.4" customHeight="1" thickBot="1" x14ac:dyDescent="0.85">
      <c r="A55" s="7" t="s">
        <v>110</v>
      </c>
      <c r="B55" s="2" t="s">
        <v>111</v>
      </c>
      <c r="C55" s="3">
        <v>28.22</v>
      </c>
      <c r="D55" s="4">
        <v>1</v>
      </c>
      <c r="E55" s="4">
        <v>65425</v>
      </c>
      <c r="F55" s="3">
        <v>28.38</v>
      </c>
      <c r="G55" s="3">
        <f t="shared" si="2"/>
        <v>-0.16000000000000014</v>
      </c>
      <c r="H55" s="5">
        <f t="shared" si="3"/>
        <v>-5.6377730796335502E-3</v>
      </c>
      <c r="I55" s="2" t="s">
        <v>13</v>
      </c>
    </row>
    <row r="56" spans="1:9" ht="26.4" customHeight="1" thickBot="1" x14ac:dyDescent="0.85">
      <c r="A56" s="7" t="s">
        <v>112</v>
      </c>
      <c r="B56" s="2" t="s">
        <v>113</v>
      </c>
      <c r="C56" s="3">
        <v>22.28</v>
      </c>
      <c r="D56" s="4">
        <v>46</v>
      </c>
      <c r="E56" s="4">
        <v>1480900</v>
      </c>
      <c r="F56" s="3">
        <v>22.36</v>
      </c>
      <c r="G56" s="3">
        <f t="shared" si="2"/>
        <v>-7.9999999999998295E-2</v>
      </c>
      <c r="H56" s="5">
        <f t="shared" si="3"/>
        <v>-3.5778175313058271E-3</v>
      </c>
      <c r="I56" s="2" t="s">
        <v>13</v>
      </c>
    </row>
    <row r="57" spans="1:9" ht="26.4" customHeight="1" thickBot="1" x14ac:dyDescent="0.85">
      <c r="A57" s="7" t="s">
        <v>114</v>
      </c>
      <c r="B57" s="2" t="s">
        <v>115</v>
      </c>
      <c r="C57" s="3">
        <v>28</v>
      </c>
      <c r="D57" s="4">
        <v>599</v>
      </c>
      <c r="E57" s="4">
        <v>270287</v>
      </c>
      <c r="F57" s="3">
        <v>28.27</v>
      </c>
      <c r="G57" s="3">
        <f t="shared" si="2"/>
        <v>-0.26999999999999957</v>
      </c>
      <c r="H57" s="5">
        <f t="shared" si="3"/>
        <v>-9.5507605235231538E-3</v>
      </c>
      <c r="I57" s="2" t="s">
        <v>13</v>
      </c>
    </row>
    <row r="58" spans="1:9" ht="26.4" customHeight="1" thickBot="1" x14ac:dyDescent="0.85">
      <c r="A58" s="7" t="s">
        <v>116</v>
      </c>
      <c r="B58" s="2" t="s">
        <v>117</v>
      </c>
      <c r="C58" s="3">
        <v>799.85</v>
      </c>
      <c r="D58" s="4">
        <v>10</v>
      </c>
      <c r="E58" s="4">
        <v>1560194</v>
      </c>
      <c r="F58" s="3">
        <v>805.9</v>
      </c>
      <c r="G58" s="3">
        <f t="shared" si="2"/>
        <v>-6.0499999999999545</v>
      </c>
      <c r="H58" s="5">
        <f t="shared" si="3"/>
        <v>-7.5071348802580404E-3</v>
      </c>
      <c r="I58" s="2" t="s">
        <v>13</v>
      </c>
    </row>
    <row r="59" spans="1:9" ht="26.4" customHeight="1" thickBot="1" x14ac:dyDescent="0.85">
      <c r="A59" s="7" t="s">
        <v>118</v>
      </c>
      <c r="B59" s="2" t="s">
        <v>119</v>
      </c>
      <c r="C59" s="3">
        <v>37.729999999999997</v>
      </c>
      <c r="D59" s="4">
        <v>4131</v>
      </c>
      <c r="E59" s="4">
        <v>567561</v>
      </c>
      <c r="F59" s="3">
        <v>37.75</v>
      </c>
      <c r="G59" s="3">
        <f t="shared" si="2"/>
        <v>-2.0000000000003126E-2</v>
      </c>
      <c r="H59" s="5">
        <f t="shared" si="3"/>
        <v>-5.2980132450339409E-4</v>
      </c>
      <c r="I59" s="2" t="s">
        <v>13</v>
      </c>
    </row>
    <row r="60" spans="1:9" ht="26.4" customHeight="1" thickBot="1" x14ac:dyDescent="0.85">
      <c r="A60" s="7" t="s">
        <v>120</v>
      </c>
      <c r="B60" s="2" t="s">
        <v>121</v>
      </c>
      <c r="C60" s="3">
        <v>183.97</v>
      </c>
      <c r="D60" s="4">
        <v>10</v>
      </c>
      <c r="E60" s="4">
        <v>894851</v>
      </c>
      <c r="F60" s="3">
        <v>184.78</v>
      </c>
      <c r="G60" s="3">
        <f t="shared" si="2"/>
        <v>-0.81000000000000227</v>
      </c>
      <c r="H60" s="5">
        <f t="shared" si="3"/>
        <v>-4.3835912977595098E-3</v>
      </c>
      <c r="I60" s="2" t="s">
        <v>13</v>
      </c>
    </row>
    <row r="61" spans="1:9" ht="26.4" customHeight="1" thickBot="1" x14ac:dyDescent="0.85">
      <c r="A61" s="7" t="s">
        <v>122</v>
      </c>
      <c r="B61" s="2" t="s">
        <v>123</v>
      </c>
      <c r="C61" s="3">
        <v>20.77</v>
      </c>
      <c r="D61" s="4">
        <v>81</v>
      </c>
      <c r="E61" s="4">
        <v>8907</v>
      </c>
      <c r="F61" s="3">
        <v>20.85</v>
      </c>
      <c r="G61" s="3">
        <f t="shared" si="2"/>
        <v>-8.0000000000001847E-2</v>
      </c>
      <c r="H61" s="5">
        <f t="shared" si="3"/>
        <v>-3.8369304556355802E-3</v>
      </c>
      <c r="I61" s="2" t="s">
        <v>13</v>
      </c>
    </row>
    <row r="62" spans="1:9" ht="26.4" customHeight="1" thickBot="1" x14ac:dyDescent="0.85">
      <c r="A62" s="7" t="s">
        <v>124</v>
      </c>
      <c r="B62" s="2" t="s">
        <v>125</v>
      </c>
      <c r="C62" s="3">
        <v>95.26</v>
      </c>
      <c r="D62" s="4">
        <v>93</v>
      </c>
      <c r="E62" s="4">
        <v>89012</v>
      </c>
      <c r="F62" s="3">
        <v>96.53</v>
      </c>
      <c r="G62" s="3">
        <f t="shared" si="2"/>
        <v>-1.269999999999996</v>
      </c>
      <c r="H62" s="5">
        <f t="shared" si="3"/>
        <v>-1.315653164819223E-2</v>
      </c>
      <c r="I62" s="2" t="s">
        <v>13</v>
      </c>
    </row>
    <row r="63" spans="1:9" ht="26.4" customHeight="1" thickBot="1" x14ac:dyDescent="0.85">
      <c r="A63" s="7" t="s">
        <v>126</v>
      </c>
      <c r="B63" s="2" t="s">
        <v>127</v>
      </c>
      <c r="C63" s="3">
        <v>41.53</v>
      </c>
      <c r="D63" s="4">
        <v>1</v>
      </c>
      <c r="E63" s="4">
        <v>5099</v>
      </c>
      <c r="F63" s="3">
        <v>41.82</v>
      </c>
      <c r="G63" s="3">
        <f t="shared" si="2"/>
        <v>-0.28999999999999915</v>
      </c>
      <c r="H63" s="5">
        <f t="shared" si="3"/>
        <v>-6.9344811095169573E-3</v>
      </c>
      <c r="I63" s="2" t="s">
        <v>13</v>
      </c>
    </row>
    <row r="64" spans="1:9" ht="26.4" customHeight="1" thickBot="1" x14ac:dyDescent="0.85">
      <c r="A64" s="7" t="s">
        <v>128</v>
      </c>
      <c r="B64" s="2" t="s">
        <v>129</v>
      </c>
      <c r="C64" s="3">
        <v>18.559999999999999</v>
      </c>
      <c r="D64" s="4">
        <v>50</v>
      </c>
      <c r="E64" s="4">
        <v>145195</v>
      </c>
      <c r="F64" s="3">
        <v>18.64</v>
      </c>
      <c r="G64" s="3">
        <f t="shared" si="2"/>
        <v>-8.0000000000001847E-2</v>
      </c>
      <c r="H64" s="5">
        <f t="shared" si="3"/>
        <v>-4.2918454935623306E-3</v>
      </c>
      <c r="I64" s="2" t="s">
        <v>13</v>
      </c>
    </row>
    <row r="65" spans="1:9" ht="26.4" customHeight="1" thickBot="1" x14ac:dyDescent="0.85">
      <c r="A65" s="7" t="s">
        <v>130</v>
      </c>
      <c r="B65" s="2" t="s">
        <v>131</v>
      </c>
      <c r="C65" s="3">
        <v>34.19</v>
      </c>
      <c r="D65" s="4">
        <v>30</v>
      </c>
      <c r="E65" s="4">
        <v>42555</v>
      </c>
      <c r="F65" s="3">
        <v>34.5</v>
      </c>
      <c r="G65" s="3">
        <f t="shared" si="2"/>
        <v>-0.31000000000000227</v>
      </c>
      <c r="H65" s="5">
        <f t="shared" si="3"/>
        <v>-8.9855072463768774E-3</v>
      </c>
      <c r="I65" s="2" t="s">
        <v>13</v>
      </c>
    </row>
    <row r="66" spans="1:9" ht="26.4" customHeight="1" thickBot="1" x14ac:dyDescent="0.85">
      <c r="A66" s="7" t="s">
        <v>132</v>
      </c>
      <c r="B66" s="2" t="s">
        <v>133</v>
      </c>
      <c r="C66" s="3">
        <v>26.22</v>
      </c>
      <c r="D66" s="4">
        <v>25</v>
      </c>
      <c r="E66" s="4">
        <v>44052</v>
      </c>
      <c r="F66" s="3">
        <v>26.22</v>
      </c>
      <c r="G66" s="3">
        <f t="shared" si="2"/>
        <v>0</v>
      </c>
      <c r="H66" s="5">
        <f t="shared" si="3"/>
        <v>0</v>
      </c>
      <c r="I66" s="2" t="s">
        <v>13</v>
      </c>
    </row>
    <row r="67" spans="1:9" ht="26.4" customHeight="1" thickBot="1" x14ac:dyDescent="0.85">
      <c r="A67" s="7" t="s">
        <v>134</v>
      </c>
      <c r="B67" s="2" t="s">
        <v>135</v>
      </c>
      <c r="C67" s="3">
        <v>68.510000000000005</v>
      </c>
      <c r="D67" s="4">
        <v>267</v>
      </c>
      <c r="E67" s="4">
        <v>171697</v>
      </c>
      <c r="F67" s="3">
        <v>68.61</v>
      </c>
      <c r="G67" s="3">
        <f t="shared" si="2"/>
        <v>-9.9999999999994316E-2</v>
      </c>
      <c r="H67" s="5">
        <f t="shared" si="3"/>
        <v>-1.4575134819996257E-3</v>
      </c>
      <c r="I67" s="2" t="s">
        <v>13</v>
      </c>
    </row>
    <row r="68" spans="1:9" ht="26.4" customHeight="1" thickBot="1" x14ac:dyDescent="0.85">
      <c r="A68" s="7" t="s">
        <v>136</v>
      </c>
      <c r="B68" s="2" t="s">
        <v>137</v>
      </c>
      <c r="C68" s="3">
        <v>27.04</v>
      </c>
      <c r="D68" s="4">
        <v>20</v>
      </c>
      <c r="E68" s="4">
        <v>3526949</v>
      </c>
      <c r="F68" s="3">
        <v>27.18</v>
      </c>
      <c r="G68" s="3">
        <f t="shared" si="2"/>
        <v>-0.14000000000000057</v>
      </c>
      <c r="H68" s="5">
        <f t="shared" si="3"/>
        <v>-5.1508462104488803E-3</v>
      </c>
      <c r="I68" s="2" t="s">
        <v>13</v>
      </c>
    </row>
    <row r="69" spans="1:9" ht="26.4" customHeight="1" thickBot="1" x14ac:dyDescent="0.85">
      <c r="A69" s="7" t="s">
        <v>138</v>
      </c>
      <c r="B69" s="2" t="s">
        <v>139</v>
      </c>
      <c r="C69" s="3">
        <v>78.099999999999994</v>
      </c>
      <c r="D69" s="4">
        <v>10</v>
      </c>
      <c r="E69" s="4">
        <v>739148</v>
      </c>
      <c r="F69" s="3">
        <v>78.69</v>
      </c>
      <c r="G69" s="3">
        <f t="shared" si="2"/>
        <v>-0.59000000000000341</v>
      </c>
      <c r="H69" s="5">
        <f t="shared" si="3"/>
        <v>-7.4977760833651475E-3</v>
      </c>
      <c r="I69" s="2" t="s">
        <v>13</v>
      </c>
    </row>
    <row r="70" spans="1:9" ht="26.4" customHeight="1" thickBot="1" x14ac:dyDescent="0.85">
      <c r="A70" s="7" t="s">
        <v>140</v>
      </c>
      <c r="B70" s="2" t="s">
        <v>141</v>
      </c>
      <c r="C70" s="3">
        <v>18.28</v>
      </c>
      <c r="D70" s="4">
        <v>100</v>
      </c>
      <c r="E70" s="4">
        <v>863296</v>
      </c>
      <c r="F70" s="3">
        <v>18.39</v>
      </c>
      <c r="G70" s="3">
        <f t="shared" si="2"/>
        <v>-0.10999999999999943</v>
      </c>
      <c r="H70" s="5">
        <f t="shared" si="3"/>
        <v>-5.9815116911364563E-3</v>
      </c>
      <c r="I70" s="2" t="s">
        <v>13</v>
      </c>
    </row>
    <row r="71" spans="1:9" ht="26.4" customHeight="1" thickBot="1" x14ac:dyDescent="0.85">
      <c r="A71" s="7" t="s">
        <v>142</v>
      </c>
      <c r="B71" s="2" t="s">
        <v>143</v>
      </c>
      <c r="C71" s="3">
        <v>23.7</v>
      </c>
      <c r="D71" s="4">
        <v>76</v>
      </c>
      <c r="E71" s="4">
        <v>282003</v>
      </c>
      <c r="F71" s="3">
        <v>23.65</v>
      </c>
      <c r="G71" s="3">
        <f t="shared" si="2"/>
        <v>5.0000000000000711E-2</v>
      </c>
      <c r="H71" s="5">
        <f t="shared" si="3"/>
        <v>2.1141649048626093E-3</v>
      </c>
      <c r="I71" s="2" t="s">
        <v>13</v>
      </c>
    </row>
    <row r="72" spans="1:9" ht="26.4" customHeight="1" thickBot="1" x14ac:dyDescent="0.85">
      <c r="A72" s="7" t="s">
        <v>144</v>
      </c>
      <c r="B72" s="2" t="s">
        <v>145</v>
      </c>
      <c r="C72" s="3">
        <v>93.14</v>
      </c>
      <c r="D72" s="4">
        <v>1</v>
      </c>
      <c r="E72" s="4">
        <v>1093832</v>
      </c>
      <c r="F72" s="3">
        <v>93.99</v>
      </c>
      <c r="G72" s="3">
        <f t="shared" ref="G72:G103" si="4">IF(A72="","",C72-F72)</f>
        <v>-0.84999999999999432</v>
      </c>
      <c r="H72" s="5">
        <f t="shared" ref="H72:H94" si="5">IF(OR(A72="",F72=0),"",(C72-F72)/F72)</f>
        <v>-9.0435152675815977E-3</v>
      </c>
      <c r="I72" s="2" t="s">
        <v>13</v>
      </c>
    </row>
    <row r="73" spans="1:9" ht="26.4" customHeight="1" thickBot="1" x14ac:dyDescent="0.85">
      <c r="A73" s="7" t="s">
        <v>146</v>
      </c>
      <c r="B73" s="2" t="s">
        <v>147</v>
      </c>
      <c r="C73" s="3">
        <v>33</v>
      </c>
      <c r="D73" s="4">
        <v>300</v>
      </c>
      <c r="E73" s="4">
        <v>145228</v>
      </c>
      <c r="F73" s="3">
        <v>33.130000000000003</v>
      </c>
      <c r="G73" s="3">
        <f t="shared" si="4"/>
        <v>-0.13000000000000256</v>
      </c>
      <c r="H73" s="5">
        <f t="shared" si="5"/>
        <v>-3.9239360096589961E-3</v>
      </c>
      <c r="I73" s="2" t="s">
        <v>13</v>
      </c>
    </row>
    <row r="74" spans="1:9" ht="26.4" customHeight="1" thickBot="1" x14ac:dyDescent="0.85">
      <c r="A74" s="7" t="s">
        <v>148</v>
      </c>
      <c r="B74" s="2" t="s">
        <v>149</v>
      </c>
      <c r="C74" s="3">
        <v>114.39</v>
      </c>
      <c r="D74" s="4">
        <v>1</v>
      </c>
      <c r="E74" s="4">
        <v>572227</v>
      </c>
      <c r="F74" s="3">
        <v>115.49</v>
      </c>
      <c r="G74" s="3">
        <f t="shared" si="4"/>
        <v>-1.0999999999999943</v>
      </c>
      <c r="H74" s="5">
        <f t="shared" si="5"/>
        <v>-9.5246341674603378E-3</v>
      </c>
      <c r="I74" s="2" t="s">
        <v>13</v>
      </c>
    </row>
    <row r="75" spans="1:9" ht="26.4" customHeight="1" thickBot="1" x14ac:dyDescent="0.85">
      <c r="A75" s="7" t="s">
        <v>150</v>
      </c>
      <c r="B75" s="2" t="s">
        <v>151</v>
      </c>
      <c r="C75" s="3">
        <v>107.95</v>
      </c>
      <c r="D75" s="4">
        <v>20</v>
      </c>
      <c r="E75" s="4">
        <v>1437913</v>
      </c>
      <c r="F75" s="3">
        <v>109.7</v>
      </c>
      <c r="G75" s="3">
        <f t="shared" si="4"/>
        <v>-1.75</v>
      </c>
      <c r="H75" s="5">
        <f t="shared" si="5"/>
        <v>-1.5952597994530537E-2</v>
      </c>
      <c r="I75" s="2" t="s">
        <v>13</v>
      </c>
    </row>
    <row r="76" spans="1:9" ht="26.4" customHeight="1" thickBot="1" x14ac:dyDescent="0.85">
      <c r="A76" s="7" t="s">
        <v>152</v>
      </c>
      <c r="B76" s="2" t="s">
        <v>153</v>
      </c>
      <c r="C76" s="3">
        <v>48.54</v>
      </c>
      <c r="D76" s="4">
        <v>25</v>
      </c>
      <c r="E76" s="4">
        <v>904311</v>
      </c>
      <c r="F76" s="3">
        <v>48.77</v>
      </c>
      <c r="G76" s="3">
        <f t="shared" si="4"/>
        <v>-0.23000000000000398</v>
      </c>
      <c r="H76" s="5">
        <f t="shared" si="5"/>
        <v>-4.7160139429978255E-3</v>
      </c>
      <c r="I76" s="2" t="s">
        <v>13</v>
      </c>
    </row>
    <row r="77" spans="1:9" ht="26.4" customHeight="1" thickBot="1" x14ac:dyDescent="0.85">
      <c r="A77" s="7" t="s">
        <v>154</v>
      </c>
      <c r="B77" s="2" t="s">
        <v>155</v>
      </c>
      <c r="C77" s="3">
        <v>19.899999999999999</v>
      </c>
      <c r="D77" s="4">
        <v>1</v>
      </c>
      <c r="E77" s="4">
        <v>368753</v>
      </c>
      <c r="F77" s="3">
        <v>19.88</v>
      </c>
      <c r="G77" s="3">
        <f t="shared" si="4"/>
        <v>1.9999999999999574E-2</v>
      </c>
      <c r="H77" s="5">
        <f t="shared" si="5"/>
        <v>1.0060362173038016E-3</v>
      </c>
      <c r="I77" s="2" t="s">
        <v>13</v>
      </c>
    </row>
    <row r="78" spans="1:9" ht="26.4" customHeight="1" thickBot="1" x14ac:dyDescent="0.85">
      <c r="A78" s="7" t="s">
        <v>156</v>
      </c>
      <c r="B78" s="2" t="s">
        <v>157</v>
      </c>
      <c r="C78" s="3">
        <v>241.8</v>
      </c>
      <c r="D78" s="4">
        <v>186</v>
      </c>
      <c r="E78" s="4">
        <v>5112200</v>
      </c>
      <c r="F78" s="3">
        <v>242.35</v>
      </c>
      <c r="G78" s="3">
        <f t="shared" si="4"/>
        <v>-0.54999999999998295</v>
      </c>
      <c r="H78" s="5">
        <f t="shared" si="5"/>
        <v>-2.2694450175365505E-3</v>
      </c>
      <c r="I78" s="2" t="s">
        <v>13</v>
      </c>
    </row>
    <row r="79" spans="1:9" ht="26.4" customHeight="1" thickBot="1" x14ac:dyDescent="0.85">
      <c r="A79" s="7" t="s">
        <v>158</v>
      </c>
      <c r="B79" s="2" t="s">
        <v>159</v>
      </c>
      <c r="C79" s="3">
        <v>11.7</v>
      </c>
      <c r="D79" s="4">
        <v>150</v>
      </c>
      <c r="E79" s="4">
        <v>896816</v>
      </c>
      <c r="F79" s="3">
        <v>11.78</v>
      </c>
      <c r="G79" s="3">
        <f t="shared" si="4"/>
        <v>-8.0000000000000071E-2</v>
      </c>
      <c r="H79" s="5">
        <f t="shared" si="5"/>
        <v>-6.7911714770798022E-3</v>
      </c>
      <c r="I79" s="2" t="s">
        <v>13</v>
      </c>
    </row>
    <row r="80" spans="1:9" ht="26.4" customHeight="1" thickBot="1" x14ac:dyDescent="0.85">
      <c r="A80" s="7" t="s">
        <v>160</v>
      </c>
      <c r="B80" s="2" t="s">
        <v>161</v>
      </c>
      <c r="C80" s="3">
        <v>23.87</v>
      </c>
      <c r="D80" s="4">
        <v>1</v>
      </c>
      <c r="E80" s="4">
        <v>2522855</v>
      </c>
      <c r="F80" s="3">
        <v>23.93</v>
      </c>
      <c r="G80" s="3">
        <f t="shared" si="4"/>
        <v>-5.9999999999998721E-2</v>
      </c>
      <c r="H80" s="5">
        <f t="shared" si="5"/>
        <v>-2.507312996238977E-3</v>
      </c>
      <c r="I80" s="2" t="s">
        <v>13</v>
      </c>
    </row>
    <row r="81" spans="1:9" ht="26.4" customHeight="1" thickBot="1" x14ac:dyDescent="0.85">
      <c r="A81" s="7" t="s">
        <v>162</v>
      </c>
      <c r="B81" s="2" t="s">
        <v>163</v>
      </c>
      <c r="C81" s="3">
        <v>966.41</v>
      </c>
      <c r="D81" s="4">
        <v>59</v>
      </c>
      <c r="E81" s="4">
        <v>10407</v>
      </c>
      <c r="F81" s="3">
        <v>973.68</v>
      </c>
      <c r="G81" s="3">
        <f t="shared" si="4"/>
        <v>-7.2699999999999818</v>
      </c>
      <c r="H81" s="5">
        <f t="shared" si="5"/>
        <v>-7.4665187741352213E-3</v>
      </c>
      <c r="I81" s="2" t="s">
        <v>13</v>
      </c>
    </row>
    <row r="82" spans="1:9" ht="26.4" customHeight="1" thickBot="1" x14ac:dyDescent="0.85">
      <c r="A82" s="7" t="s">
        <v>164</v>
      </c>
      <c r="B82" s="2" t="s">
        <v>165</v>
      </c>
      <c r="C82" s="3">
        <v>75.430000000000007</v>
      </c>
      <c r="D82" s="4">
        <v>196</v>
      </c>
      <c r="E82" s="4">
        <v>131385</v>
      </c>
      <c r="F82" s="3">
        <v>75.83</v>
      </c>
      <c r="G82" s="3">
        <f t="shared" si="4"/>
        <v>-0.39999999999999147</v>
      </c>
      <c r="H82" s="5">
        <f t="shared" si="5"/>
        <v>-5.2749571409731171E-3</v>
      </c>
      <c r="I82" s="2" t="s">
        <v>13</v>
      </c>
    </row>
    <row r="83" spans="1:9" ht="26.4" customHeight="1" thickBot="1" x14ac:dyDescent="0.85">
      <c r="A83" s="7" t="s">
        <v>166</v>
      </c>
      <c r="B83" s="2" t="s">
        <v>167</v>
      </c>
      <c r="C83" s="3">
        <v>24.17</v>
      </c>
      <c r="D83" s="4">
        <v>4</v>
      </c>
      <c r="E83" s="4">
        <v>977275</v>
      </c>
      <c r="F83" s="3">
        <v>24.26</v>
      </c>
      <c r="G83" s="3">
        <f t="shared" si="4"/>
        <v>-8.9999999999999858E-2</v>
      </c>
      <c r="H83" s="5">
        <f t="shared" si="5"/>
        <v>-3.709810387469079E-3</v>
      </c>
      <c r="I83" s="2" t="s">
        <v>13</v>
      </c>
    </row>
    <row r="84" spans="1:9" ht="26.4" customHeight="1" thickBot="1" x14ac:dyDescent="0.85">
      <c r="A84" s="7" t="s">
        <v>168</v>
      </c>
      <c r="B84" s="2" t="s">
        <v>55</v>
      </c>
      <c r="C84" s="3"/>
      <c r="D84" s="4"/>
      <c r="E84" s="4"/>
      <c r="F84" s="3"/>
      <c r="G84" s="3">
        <f t="shared" si="4"/>
        <v>0</v>
      </c>
      <c r="H84" s="5" t="str">
        <f t="shared" si="5"/>
        <v/>
      </c>
      <c r="I84" s="2"/>
    </row>
    <row r="85" spans="1:9" ht="26.4" customHeight="1" thickBot="1" x14ac:dyDescent="0.85">
      <c r="A85" s="7" t="s">
        <v>169</v>
      </c>
      <c r="B85" s="2" t="s">
        <v>170</v>
      </c>
      <c r="C85" s="3">
        <v>792</v>
      </c>
      <c r="D85" s="4">
        <v>44</v>
      </c>
      <c r="E85" s="4">
        <v>19357</v>
      </c>
      <c r="F85" s="3">
        <v>798.66</v>
      </c>
      <c r="G85" s="3">
        <f t="shared" si="4"/>
        <v>-6.6599999999999682</v>
      </c>
      <c r="H85" s="5">
        <f t="shared" si="5"/>
        <v>-8.3389677710164131E-3</v>
      </c>
      <c r="I85" s="2" t="s">
        <v>13</v>
      </c>
    </row>
    <row r="86" spans="1:9" ht="26.4" customHeight="1" thickBot="1" x14ac:dyDescent="0.85">
      <c r="A86" s="7" t="s">
        <v>171</v>
      </c>
      <c r="B86" s="2" t="s">
        <v>172</v>
      </c>
      <c r="C86" s="3">
        <v>78.3</v>
      </c>
      <c r="D86" s="4">
        <v>10</v>
      </c>
      <c r="E86" s="4">
        <v>12986</v>
      </c>
      <c r="F86" s="3">
        <v>78.319999999999993</v>
      </c>
      <c r="G86" s="3">
        <f t="shared" si="4"/>
        <v>-1.9999999999996021E-2</v>
      </c>
      <c r="H86" s="5">
        <f t="shared" si="5"/>
        <v>-2.5536261491312592E-4</v>
      </c>
      <c r="I86" s="2" t="s">
        <v>13</v>
      </c>
    </row>
    <row r="87" spans="1:9" ht="26.4" customHeight="1" thickBot="1" x14ac:dyDescent="0.85">
      <c r="A87" s="7" t="s">
        <v>173</v>
      </c>
      <c r="B87" s="2" t="s">
        <v>174</v>
      </c>
      <c r="C87" s="3">
        <v>33.47</v>
      </c>
      <c r="D87" s="4">
        <v>500</v>
      </c>
      <c r="E87" s="4">
        <v>24602</v>
      </c>
      <c r="F87" s="3">
        <v>33.69</v>
      </c>
      <c r="G87" s="3">
        <f t="shared" si="4"/>
        <v>-0.21999999999999886</v>
      </c>
      <c r="H87" s="5">
        <f t="shared" si="5"/>
        <v>-6.5301276343128194E-3</v>
      </c>
      <c r="I87" s="2" t="s">
        <v>13</v>
      </c>
    </row>
    <row r="88" spans="1:9" ht="26.4" customHeight="1" thickBot="1" x14ac:dyDescent="0.85">
      <c r="A88" s="7" t="s">
        <v>175</v>
      </c>
      <c r="B88" s="2" t="s">
        <v>176</v>
      </c>
      <c r="C88" s="3">
        <v>11.36</v>
      </c>
      <c r="D88" s="4">
        <v>500</v>
      </c>
      <c r="E88" s="4">
        <v>688050</v>
      </c>
      <c r="F88" s="3">
        <v>11.39</v>
      </c>
      <c r="G88" s="3">
        <f t="shared" si="4"/>
        <v>-3.0000000000001137E-2</v>
      </c>
      <c r="H88" s="5">
        <f t="shared" si="5"/>
        <v>-2.6338893766462805E-3</v>
      </c>
      <c r="I88" s="2" t="s">
        <v>13</v>
      </c>
    </row>
    <row r="89" spans="1:9" ht="26.4" customHeight="1" thickBot="1" x14ac:dyDescent="0.85">
      <c r="A89" s="7" t="s">
        <v>177</v>
      </c>
      <c r="B89" s="2" t="s">
        <v>178</v>
      </c>
      <c r="C89" s="3">
        <v>21.57</v>
      </c>
      <c r="D89" s="4">
        <v>29</v>
      </c>
      <c r="E89" s="4">
        <v>173979</v>
      </c>
      <c r="F89" s="3">
        <v>21.68</v>
      </c>
      <c r="G89" s="3">
        <f t="shared" si="4"/>
        <v>-0.10999999999999943</v>
      </c>
      <c r="H89" s="5">
        <f t="shared" si="5"/>
        <v>-5.0738007380073539E-3</v>
      </c>
      <c r="I89" s="2" t="s">
        <v>13</v>
      </c>
    </row>
    <row r="90" spans="1:9" ht="26.4" customHeight="1" thickBot="1" x14ac:dyDescent="0.85">
      <c r="A90" s="7" t="s">
        <v>179</v>
      </c>
      <c r="B90" s="2" t="s">
        <v>180</v>
      </c>
      <c r="C90" s="3">
        <v>13.55</v>
      </c>
      <c r="D90" s="4">
        <v>1688</v>
      </c>
      <c r="E90" s="4">
        <v>517758</v>
      </c>
      <c r="F90" s="3">
        <v>13.65</v>
      </c>
      <c r="G90" s="3">
        <f t="shared" si="4"/>
        <v>-9.9999999999999645E-2</v>
      </c>
      <c r="H90" s="5">
        <f t="shared" si="5"/>
        <v>-7.3260073260073E-3</v>
      </c>
      <c r="I90" s="2" t="s">
        <v>13</v>
      </c>
    </row>
    <row r="91" spans="1:9" ht="26.4" customHeight="1" thickBot="1" x14ac:dyDescent="0.85">
      <c r="A91" s="7" t="s">
        <v>181</v>
      </c>
      <c r="B91" s="2" t="s">
        <v>182</v>
      </c>
      <c r="C91" s="3">
        <v>13.9</v>
      </c>
      <c r="D91" s="4">
        <v>362</v>
      </c>
      <c r="E91" s="4">
        <v>84750</v>
      </c>
      <c r="F91" s="3">
        <v>14.01</v>
      </c>
      <c r="G91" s="3">
        <f t="shared" si="4"/>
        <v>-0.10999999999999943</v>
      </c>
      <c r="H91" s="5">
        <f t="shared" si="5"/>
        <v>-7.851534618129867E-3</v>
      </c>
      <c r="I91" s="2" t="s">
        <v>13</v>
      </c>
    </row>
    <row r="92" spans="1:9" ht="26.4" customHeight="1" thickBot="1" x14ac:dyDescent="0.85">
      <c r="A92" s="7" t="s">
        <v>181</v>
      </c>
      <c r="B92" s="2" t="s">
        <v>182</v>
      </c>
      <c r="C92" s="3">
        <v>13.9</v>
      </c>
      <c r="D92" s="4">
        <v>362</v>
      </c>
      <c r="E92" s="4">
        <v>84750</v>
      </c>
      <c r="F92" s="3">
        <v>14.01</v>
      </c>
      <c r="G92" s="3">
        <f t="shared" si="4"/>
        <v>-0.10999999999999943</v>
      </c>
      <c r="H92" s="5">
        <f t="shared" si="5"/>
        <v>-7.851534618129867E-3</v>
      </c>
      <c r="I92" s="2" t="s">
        <v>13</v>
      </c>
    </row>
    <row r="93" spans="1:9" ht="26.4" customHeight="1" thickBot="1" x14ac:dyDescent="0.85">
      <c r="A93" s="7" t="s">
        <v>183</v>
      </c>
      <c r="B93" s="2" t="s">
        <v>184</v>
      </c>
      <c r="C93" s="3">
        <v>167.97</v>
      </c>
      <c r="D93" s="4">
        <v>2</v>
      </c>
      <c r="E93" s="4">
        <v>40807</v>
      </c>
      <c r="F93" s="3">
        <v>168.94</v>
      </c>
      <c r="G93" s="3">
        <f t="shared" si="4"/>
        <v>-0.96999999999999886</v>
      </c>
      <c r="H93" s="5">
        <f t="shared" si="5"/>
        <v>-5.7416834379069425E-3</v>
      </c>
      <c r="I93" s="2" t="s">
        <v>13</v>
      </c>
    </row>
    <row r="94" spans="1:9" ht="26.4" customHeight="1" thickBot="1" x14ac:dyDescent="0.85">
      <c r="A94" s="7" t="s">
        <v>185</v>
      </c>
      <c r="B94" s="2" t="s">
        <v>186</v>
      </c>
      <c r="C94" s="3">
        <v>10.220000000000001</v>
      </c>
      <c r="D94" s="4">
        <v>1</v>
      </c>
      <c r="E94" s="4">
        <v>162788</v>
      </c>
      <c r="F94" s="3">
        <v>10.210000000000001</v>
      </c>
      <c r="G94" s="3">
        <f t="shared" si="4"/>
        <v>9.9999999999997868E-3</v>
      </c>
      <c r="H94" s="5">
        <f t="shared" si="5"/>
        <v>9.7943192948088008E-4</v>
      </c>
      <c r="I94" s="2" t="s">
        <v>13</v>
      </c>
    </row>
    <row r="95" spans="1:9" ht="26.4" customHeight="1" thickBot="1" x14ac:dyDescent="0.85">
      <c r="A95" s="7" t="s">
        <v>187</v>
      </c>
      <c r="B95" t="s">
        <v>188</v>
      </c>
      <c r="C95">
        <v>21.24</v>
      </c>
      <c r="D95">
        <v>33</v>
      </c>
      <c r="E95">
        <v>146975</v>
      </c>
      <c r="F95">
        <v>21.38</v>
      </c>
      <c r="I95" t="s">
        <v>13</v>
      </c>
    </row>
    <row r="96" spans="1:9" ht="26.4" customHeight="1" thickBot="1" x14ac:dyDescent="0.85">
      <c r="A96" s="7" t="s">
        <v>189</v>
      </c>
      <c r="B96" t="s">
        <v>190</v>
      </c>
      <c r="C96">
        <v>33.630000000000003</v>
      </c>
      <c r="D96">
        <v>46</v>
      </c>
      <c r="E96">
        <v>250710</v>
      </c>
      <c r="F96">
        <v>33.93</v>
      </c>
      <c r="I96" t="s">
        <v>13</v>
      </c>
    </row>
    <row r="97" spans="1:9" ht="26.4" customHeight="1" thickBot="1" x14ac:dyDescent="0.85">
      <c r="A97" s="7" t="s">
        <v>191</v>
      </c>
      <c r="B97" t="s">
        <v>192</v>
      </c>
      <c r="C97">
        <v>33.909999999999997</v>
      </c>
      <c r="D97">
        <v>5</v>
      </c>
      <c r="E97">
        <v>292688</v>
      </c>
      <c r="F97">
        <v>34.18</v>
      </c>
      <c r="I97" t="s">
        <v>13</v>
      </c>
    </row>
    <row r="98" spans="1:9" ht="26.4" customHeight="1" thickBot="1" x14ac:dyDescent="0.85">
      <c r="A98" s="7" t="s">
        <v>193</v>
      </c>
      <c r="B98" t="s">
        <v>194</v>
      </c>
      <c r="C98">
        <v>99.25</v>
      </c>
      <c r="D98">
        <v>68</v>
      </c>
      <c r="E98">
        <v>25771</v>
      </c>
      <c r="F98">
        <v>99.83</v>
      </c>
      <c r="I98" t="s">
        <v>13</v>
      </c>
    </row>
    <row r="99" spans="1:9" ht="26.4" customHeight="1" thickBot="1" x14ac:dyDescent="0.85">
      <c r="A99" s="7" t="s">
        <v>195</v>
      </c>
      <c r="B99" t="s">
        <v>196</v>
      </c>
      <c r="C99">
        <v>89.56</v>
      </c>
      <c r="D99">
        <v>39</v>
      </c>
      <c r="E99">
        <v>49553</v>
      </c>
      <c r="F99">
        <v>89.72</v>
      </c>
      <c r="I99" t="s">
        <v>13</v>
      </c>
    </row>
    <row r="100" spans="1:9" ht="26.4" customHeight="1" thickBot="1" x14ac:dyDescent="0.85">
      <c r="A100" s="7" t="s">
        <v>197</v>
      </c>
      <c r="B100" t="s">
        <v>198</v>
      </c>
      <c r="C100">
        <v>112.97</v>
      </c>
      <c r="D100">
        <v>86</v>
      </c>
      <c r="E100">
        <v>87863</v>
      </c>
      <c r="F100">
        <v>113.68</v>
      </c>
      <c r="I100" t="s">
        <v>13</v>
      </c>
    </row>
    <row r="101" spans="1:9" ht="26.4" customHeight="1" thickBot="1" x14ac:dyDescent="0.85">
      <c r="A101" s="7" t="s">
        <v>199</v>
      </c>
      <c r="B101" t="s">
        <v>200</v>
      </c>
      <c r="C101">
        <v>77.55</v>
      </c>
      <c r="D101">
        <v>328</v>
      </c>
      <c r="E101">
        <v>121615</v>
      </c>
      <c r="F101">
        <v>77.77</v>
      </c>
      <c r="I101" t="s">
        <v>13</v>
      </c>
    </row>
    <row r="102" spans="1:9" ht="26.4" customHeight="1" thickBot="1" x14ac:dyDescent="0.85">
      <c r="A102" s="7" t="s">
        <v>201</v>
      </c>
      <c r="B102" t="s">
        <v>202</v>
      </c>
      <c r="C102">
        <v>33.65</v>
      </c>
      <c r="D102">
        <v>356</v>
      </c>
      <c r="E102">
        <v>348747</v>
      </c>
      <c r="F102">
        <v>33.659999999999997</v>
      </c>
      <c r="I102" t="s">
        <v>13</v>
      </c>
    </row>
    <row r="103" spans="1:9" ht="26.4" customHeight="1" thickBot="1" x14ac:dyDescent="0.85">
      <c r="A103" s="7" t="s">
        <v>203</v>
      </c>
      <c r="B103" t="s">
        <v>204</v>
      </c>
      <c r="C103">
        <v>32.33</v>
      </c>
      <c r="D103">
        <v>948</v>
      </c>
      <c r="E103">
        <v>59959</v>
      </c>
      <c r="F103">
        <v>32.340000000000003</v>
      </c>
      <c r="I103" t="s">
        <v>13</v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Watchlist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Ankith KR</cp:lastModifiedBy>
  <dcterms:created xsi:type="dcterms:W3CDTF">2026-08-19T12:15:22Z</dcterms:created>
  <dcterms:modified xsi:type="dcterms:W3CDTF">2026-08-19T12:37:33Z</dcterms:modified>
</cp:coreProperties>
</file>