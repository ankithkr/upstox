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Watchlist" sheetId="1" state="visible" r:id="rId1"/>
    <sheet name="Analysis" sheetId="2" state="visible" r:id="rId2"/>
    <sheet name="Top 5" sheetId="3" state="visible" r:id="rId3"/>
    <sheet name="Backtes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\₹#,##0.00;\-\₹#,##0.00;\-"/>
    <numFmt numFmtId="165" formatCode="0.00%;\(0.00%\);\-"/>
    <numFmt numFmtId="166" formatCode="yyyy\-mm\-dd"/>
    <numFmt numFmtId="167" formatCode="₹#,##0.00;-₹#,##0.00;-"/>
    <numFmt numFmtId="168" formatCode="yyyy-mm-dd"/>
    <numFmt numFmtId="169" formatCode="0.00%;(0.00%);-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FFFFFFFF"/>
      <sz val="10"/>
    </font>
    <font>
      <name val="Arial"/>
      <sz val="10"/>
    </font>
    <font>
      <name val="Arial"/>
      <family val="2"/>
      <sz val="10"/>
    </font>
    <font>
      <name val="Oswald"/>
      <color theme="1"/>
      <sz val="12"/>
    </font>
    <font>
      <name val="Arial"/>
      <b val="1"/>
      <color rgb="FFFFFFFF"/>
      <sz val="10"/>
    </font>
    <font>
      <name val="Arial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wrapText="1"/>
    </xf>
    <xf numFmtId="0" fontId="7" fillId="3" borderId="0" applyAlignment="1" pivotButton="0" quotePrefix="0" xfId="0">
      <alignment horizontal="center"/>
    </xf>
    <xf numFmtId="166" fontId="4" fillId="0" borderId="0" pivotButton="0" quotePrefix="0" xfId="0"/>
    <xf numFmtId="164" fontId="7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9" fillId="4" borderId="0" applyAlignment="1" pivotButton="0" quotePrefix="0" xfId="0">
      <alignment horizontal="center"/>
    </xf>
    <xf numFmtId="0" fontId="8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169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4" topLeftCell="A29" activePane="bottomLeft" state="frozen"/>
      <selection pane="bottomLeft" activeCell="F37" sqref="F37"/>
    </sheetView>
  </sheetViews>
  <sheetFormatPr baseColWidth="8" defaultRowHeight="14.4"/>
  <cols>
    <col width="14" customWidth="1" style="12" min="1" max="1"/>
    <col width="22" customWidth="1" style="12" min="2" max="2"/>
    <col width="12" customWidth="1" style="12" min="3" max="3"/>
    <col width="10" customWidth="1" style="12" min="4" max="4"/>
    <col width="12" customWidth="1" style="12" min="5" max="8"/>
    <col width="20" customWidth="1" style="12" min="9" max="9"/>
  </cols>
  <sheetData>
    <row r="1" ht="17.4" customHeight="1" s="12">
      <c r="A1" s="13" t="inlineStr">
        <is>
          <t>Upstox Watchlist</t>
        </is>
      </c>
    </row>
    <row r="2" ht="30" customHeight="1" s="12">
      <c r="A2" s="14" t="inlineStr">
        <is>
          <t>Fill in the Symbol column (A) only, starting row 5, with NSE trading symbols (e.g. RELIANCE, TCS). Run update_excel.py to populate columns B-I via the Upstox LTP API. Do not edit columns B-I directly - they are overwritten on each run.</t>
        </is>
      </c>
    </row>
    <row r="4">
      <c r="A4" s="1" t="inlineStr">
        <is>
          <t>Symbol</t>
        </is>
      </c>
      <c r="B4" s="1" t="inlineStr">
        <is>
          <t>Instrument Key</t>
        </is>
      </c>
      <c r="C4" s="1" t="inlineStr">
        <is>
          <t>LTP</t>
        </is>
      </c>
      <c r="D4" s="1" t="inlineStr">
        <is>
          <t>LTQ</t>
        </is>
      </c>
      <c r="E4" s="1" t="inlineStr">
        <is>
          <t>Volume</t>
        </is>
      </c>
      <c r="F4" s="1" t="inlineStr">
        <is>
          <t>Prev Close</t>
        </is>
      </c>
      <c r="G4" s="1" t="inlineStr">
        <is>
          <t>Change</t>
        </is>
      </c>
      <c r="H4" s="1" t="inlineStr">
        <is>
          <t>Change %</t>
        </is>
      </c>
      <c r="I4" s="1" t="inlineStr">
        <is>
          <t>Last Updated</t>
        </is>
      </c>
    </row>
    <row r="5" ht="15" customHeight="1" s="12" thickBot="1">
      <c r="A5" s="6" t="inlineStr">
        <is>
          <t>MAHKTECH</t>
        </is>
      </c>
      <c r="B5" s="2" t="inlineStr">
        <is>
          <t>NSE_EQ|INF769K01HS7</t>
        </is>
      </c>
      <c r="C5" s="3" t="n">
        <v>23.23</v>
      </c>
      <c r="D5" s="4" t="n">
        <v>8</v>
      </c>
      <c r="E5" s="4" t="n">
        <v>937285</v>
      </c>
      <c r="F5" s="3" t="n">
        <v>23.1</v>
      </c>
      <c r="G5" s="3">
        <f>IF(A5="","",C5-F5)</f>
        <v/>
      </c>
      <c r="H5" s="5">
        <f>IF(OR(A5="",F5=0),"",(C5-F5)/F5)</f>
        <v/>
      </c>
      <c r="I5" s="2" t="inlineStr">
        <is>
          <t>2026-08-19 17:54:59</t>
        </is>
      </c>
    </row>
    <row r="6" ht="26.4" customHeight="1" s="12" thickBot="1">
      <c r="A6" s="7" t="inlineStr">
        <is>
          <t>HNGSNGBEES</t>
        </is>
      </c>
      <c r="B6" s="2" t="inlineStr">
        <is>
          <t>NSE_EQ|INF204KB19I1</t>
        </is>
      </c>
      <c r="C6" s="3" t="n">
        <v>479.5</v>
      </c>
      <c r="D6" s="4" t="n">
        <v>2</v>
      </c>
      <c r="E6" s="4" t="n">
        <v>77201</v>
      </c>
      <c r="F6" s="3" t="n">
        <v>481.22</v>
      </c>
      <c r="G6" s="3" t="n"/>
      <c r="H6" s="5" t="n"/>
      <c r="I6" s="2" t="inlineStr">
        <is>
          <t>2026-08-19 17:54:59</t>
        </is>
      </c>
    </row>
    <row r="7" ht="26.4" customHeight="1" s="12" thickBot="1">
      <c r="A7" s="7" t="inlineStr">
        <is>
          <t>GSEC10IETF</t>
        </is>
      </c>
      <c r="B7" s="2" t="inlineStr">
        <is>
          <t>NSE_EQ|INF109KC18O0</t>
        </is>
      </c>
      <c r="C7" s="3" t="n">
        <v>266.89</v>
      </c>
      <c r="D7" s="4" t="n">
        <v>9</v>
      </c>
      <c r="E7" s="4" t="n">
        <v>575</v>
      </c>
      <c r="F7" s="3" t="n">
        <v>265.49</v>
      </c>
      <c r="G7" s="3" t="n"/>
      <c r="H7" s="5" t="n"/>
      <c r="I7" s="2" t="inlineStr">
        <is>
          <t>2026-08-19 17:54:59</t>
        </is>
      </c>
    </row>
    <row r="8" ht="26.4" customHeight="1" s="12" thickBot="1">
      <c r="A8" s="7" t="inlineStr">
        <is>
          <t>SETF10GILT</t>
        </is>
      </c>
      <c r="B8" s="2" t="inlineStr">
        <is>
          <t>NSE_EQ|INF200KA1JT1</t>
        </is>
      </c>
      <c r="C8" s="3" t="n">
        <v>265.4</v>
      </c>
      <c r="D8" s="4" t="n">
        <v>41</v>
      </c>
      <c r="E8" s="4" t="n">
        <v>284</v>
      </c>
      <c r="F8" s="3" t="n">
        <v>265.39</v>
      </c>
      <c r="G8" s="3">
        <f>IF(A8="","",C8-F8)</f>
        <v/>
      </c>
      <c r="H8" s="5">
        <f>IF(OR(A8="",F8=0),"",(C8-F8)/F8)</f>
        <v/>
      </c>
      <c r="I8" s="2" t="inlineStr">
        <is>
          <t>2026-08-19 17:54:59</t>
        </is>
      </c>
    </row>
    <row r="9" ht="26.4" customHeight="1" s="12" thickBot="1">
      <c r="A9" s="7" t="inlineStr">
        <is>
          <t>LTGILTBEES</t>
        </is>
      </c>
      <c r="B9" s="2" t="inlineStr">
        <is>
          <t>NSE_EQ|INF204KB1882</t>
        </is>
      </c>
      <c r="C9" s="3" t="n">
        <v>30.04</v>
      </c>
      <c r="D9" s="4" t="n">
        <v>3000</v>
      </c>
      <c r="E9" s="4" t="n">
        <v>561225</v>
      </c>
      <c r="F9" s="3" t="n">
        <v>30.02</v>
      </c>
      <c r="G9" s="3">
        <f>IF(A9="","",C9-F9)</f>
        <v/>
      </c>
      <c r="H9" s="5">
        <f>IF(OR(A9="",F9=0),"",(C9-F9)/F9)</f>
        <v/>
      </c>
      <c r="I9" s="2" t="inlineStr">
        <is>
          <t>2026-08-19 17:54:59</t>
        </is>
      </c>
    </row>
    <row r="10" ht="26.4" customHeight="1" s="12" thickBot="1">
      <c r="A10" s="7" t="inlineStr">
        <is>
          <t>LICNETFGSC</t>
        </is>
      </c>
      <c r="B10" s="2" t="inlineStr">
        <is>
          <t>NSE_EQ|INF767K01MV5</t>
        </is>
      </c>
      <c r="C10" s="3" t="n">
        <v>29.9</v>
      </c>
      <c r="D10" s="4" t="n">
        <v>3</v>
      </c>
      <c r="E10" s="4" t="n">
        <v>68488</v>
      </c>
      <c r="F10" s="3" t="n">
        <v>29.51</v>
      </c>
      <c r="G10" s="3">
        <f>IF(A10="","",C10-F10)</f>
        <v/>
      </c>
      <c r="H10" s="5">
        <f>IF(OR(A10="",F10=0),"",(C10-F10)/F10)</f>
        <v/>
      </c>
      <c r="I10" s="2" t="inlineStr">
        <is>
          <t>2026-08-19 17:54:59</t>
        </is>
      </c>
    </row>
    <row r="11" ht="26.4" customHeight="1" s="12" thickBot="1">
      <c r="A11" s="7" t="inlineStr">
        <is>
          <t>GILT5YBEES</t>
        </is>
      </c>
      <c r="B11" s="2" t="inlineStr">
        <is>
          <t>NSE_EQ|INF204KC1030</t>
        </is>
      </c>
      <c r="C11" s="3" t="n">
        <v>66.27</v>
      </c>
      <c r="D11" s="4" t="n">
        <v>771</v>
      </c>
      <c r="E11" s="4" t="n">
        <v>69863</v>
      </c>
      <c r="F11" s="3" t="n">
        <v>66.23</v>
      </c>
      <c r="G11" s="3">
        <f>IF(A11="","",C11-F11)</f>
        <v/>
      </c>
      <c r="H11" s="5">
        <f>IF(OR(A11="",F11=0),"",(C11-F11)/F11)</f>
        <v/>
      </c>
      <c r="I11" s="2" t="inlineStr">
        <is>
          <t>2026-08-19 17:54:59</t>
        </is>
      </c>
    </row>
    <row r="12" ht="26.4" customHeight="1" s="12" thickBot="1">
      <c r="A12" s="7" t="inlineStr">
        <is>
          <t>PVTBANIETF</t>
        </is>
      </c>
      <c r="B12" s="2" t="inlineStr">
        <is>
          <t>NSE_EQ|INF109KC18U7</t>
        </is>
      </c>
      <c r="C12" s="3" t="n">
        <v>27.65</v>
      </c>
      <c r="D12" s="4" t="n">
        <v>100</v>
      </c>
      <c r="E12" s="4" t="n">
        <v>1210942</v>
      </c>
      <c r="F12" s="3" t="n">
        <v>27.67</v>
      </c>
      <c r="G12" s="3">
        <f>IF(A12="","",C12-F12)</f>
        <v/>
      </c>
      <c r="H12" s="5">
        <f>IF(OR(A12="",F12=0),"",(C12-F12)/F12)</f>
        <v/>
      </c>
      <c r="I12" s="2" t="inlineStr">
        <is>
          <t>2026-08-19 17:54:59</t>
        </is>
      </c>
    </row>
    <row r="13" ht="26.4" customHeight="1" s="12" thickBot="1">
      <c r="A13" s="7" t="inlineStr">
        <is>
          <t>PVTBANKADD</t>
        </is>
      </c>
      <c r="B13" s="2" t="inlineStr">
        <is>
          <t>NSE_EQ|INF740KA1TA7</t>
        </is>
      </c>
      <c r="C13" s="3" t="n">
        <v>27.82</v>
      </c>
      <c r="D13" s="4" t="n">
        <v>314</v>
      </c>
      <c r="E13" s="4" t="n">
        <v>44088</v>
      </c>
      <c r="F13" s="3" t="n">
        <v>27.82</v>
      </c>
      <c r="G13" s="3">
        <f>IF(A13="","",C13-F13)</f>
        <v/>
      </c>
      <c r="H13" s="5">
        <f>IF(OR(A13="",F13=0),"",(C13-F13)/F13)</f>
        <v/>
      </c>
      <c r="I13" s="2" t="inlineStr">
        <is>
          <t>2026-08-19 17:54:59</t>
        </is>
      </c>
    </row>
    <row r="14" ht="26.4" customHeight="1" s="12" thickBot="1">
      <c r="A14" s="7" t="inlineStr">
        <is>
          <t>CONSUMBEES</t>
        </is>
      </c>
      <c r="B14" s="2" t="inlineStr">
        <is>
          <t>NSE_EQ|INF204KA1LD7</t>
        </is>
      </c>
      <c r="C14" s="3" t="n">
        <v>133</v>
      </c>
      <c r="D14" s="4" t="n">
        <v>78</v>
      </c>
      <c r="E14" s="4" t="n">
        <v>41453</v>
      </c>
      <c r="F14" s="3" t="n">
        <v>134.2</v>
      </c>
      <c r="G14" s="3">
        <f>IF(A14="","",C14-F14)</f>
        <v/>
      </c>
      <c r="H14" s="5">
        <f>IF(OR(A14="",F14=0),"",(C14-F14)/F14)</f>
        <v/>
      </c>
      <c r="I14" s="2" t="inlineStr">
        <is>
          <t>2026-08-19 17:54:59</t>
        </is>
      </c>
    </row>
    <row r="15" ht="26.4" customHeight="1" s="12" thickBot="1">
      <c r="A15" s="7" t="inlineStr">
        <is>
          <t>ALPHAETF</t>
        </is>
      </c>
      <c r="B15" s="2" t="inlineStr">
        <is>
          <t>NSE_EQ|INF769K01KU7</t>
        </is>
      </c>
      <c r="C15" s="3" t="n">
        <v>26.45</v>
      </c>
      <c r="D15" s="4" t="n">
        <v>5</v>
      </c>
      <c r="E15" s="4" t="n">
        <v>341006</v>
      </c>
      <c r="F15" s="3" t="n">
        <v>26.79</v>
      </c>
      <c r="G15" s="3">
        <f>IF(A15="","",C15-F15)</f>
        <v/>
      </c>
      <c r="H15" s="5">
        <f>IF(OR(A15="",F15=0),"",(C15-F15)/F15)</f>
        <v/>
      </c>
      <c r="I15" s="2" t="inlineStr">
        <is>
          <t>2026-08-19 17:54:59</t>
        </is>
      </c>
    </row>
    <row r="16" ht="26.4" customHeight="1" s="12" thickBot="1">
      <c r="A16" s="7" t="inlineStr">
        <is>
          <t>HDFCMOMENT</t>
        </is>
      </c>
      <c r="B16" s="2" t="inlineStr">
        <is>
          <t>NSE_EQ|INF179KC1HV6</t>
        </is>
      </c>
      <c r="C16" s="3" t="n">
        <v>31.18</v>
      </c>
      <c r="D16" s="4" t="n">
        <v>30</v>
      </c>
      <c r="E16" s="4" t="n">
        <v>207377</v>
      </c>
      <c r="F16" s="3" t="n">
        <v>31.42</v>
      </c>
      <c r="G16" s="3">
        <f>IF(A16="","",C16-F16)</f>
        <v/>
      </c>
      <c r="H16" s="5">
        <f>IF(OR(A16="",F16=0),"",(C16-F16)/F16)</f>
        <v/>
      </c>
      <c r="I16" s="2" t="inlineStr">
        <is>
          <t>2026-08-19 17:54:59</t>
        </is>
      </c>
    </row>
    <row r="17" ht="26.4" customHeight="1" s="12" thickBot="1">
      <c r="A17" s="7" t="inlineStr">
        <is>
          <t>HDFCPVTBAN</t>
        </is>
      </c>
      <c r="B17" s="2" t="inlineStr">
        <is>
          <t>NSE_EQ|INF179KC1HZ7</t>
        </is>
      </c>
      <c r="C17" s="3" t="n">
        <v>27.92</v>
      </c>
      <c r="D17" s="4" t="n">
        <v>525</v>
      </c>
      <c r="E17" s="4" t="n">
        <v>222559</v>
      </c>
      <c r="F17" s="3" t="n">
        <v>27.84</v>
      </c>
      <c r="G17" s="3">
        <f>IF(A17="","",C17-F17)</f>
        <v/>
      </c>
      <c r="H17" s="5">
        <f>IF(OR(A17="",F17=0),"",(C17-F17)/F17)</f>
        <v/>
      </c>
      <c r="I17" s="2" t="inlineStr">
        <is>
          <t>2026-08-19 17:54:59</t>
        </is>
      </c>
    </row>
    <row r="18" ht="26.4" customHeight="1" s="12" thickBot="1">
      <c r="A18" s="7" t="inlineStr">
        <is>
          <t>BFSI</t>
        </is>
      </c>
      <c r="B18" s="2" t="inlineStr">
        <is>
          <t>NSE_EQ|INF769K01HI8</t>
        </is>
      </c>
      <c r="C18" s="3" t="n">
        <v>27.11</v>
      </c>
      <c r="D18" s="4" t="n">
        <v>25</v>
      </c>
      <c r="E18" s="4" t="n">
        <v>93175</v>
      </c>
      <c r="F18" s="3" t="n">
        <v>27.22</v>
      </c>
      <c r="G18" s="3">
        <f>IF(A18="","",C18-F18)</f>
        <v/>
      </c>
      <c r="H18" s="5">
        <f>IF(OR(A18="",F18=0),"",(C18-F18)/F18)</f>
        <v/>
      </c>
      <c r="I18" s="2" t="inlineStr">
        <is>
          <t>2026-08-19 17:54:59</t>
        </is>
      </c>
    </row>
    <row r="19" ht="26.4" customHeight="1" s="12" thickBot="1">
      <c r="A19" s="7" t="inlineStr">
        <is>
          <t>BANKBEES</t>
        </is>
      </c>
      <c r="B19" s="2" t="inlineStr">
        <is>
          <t>NSE_EQ|INF204KB15I9</t>
        </is>
      </c>
      <c r="C19" s="3" t="n">
        <v>592.7</v>
      </c>
      <c r="D19" s="4" t="n">
        <v>18</v>
      </c>
      <c r="E19" s="4" t="n">
        <v>360616</v>
      </c>
      <c r="F19" s="3" t="n">
        <v>594.86</v>
      </c>
      <c r="G19" s="3">
        <f>IF(A19="","",C19-F19)</f>
        <v/>
      </c>
      <c r="H19" s="5">
        <f>IF(OR(A19="",F19=0),"",(C19-F19)/F19)</f>
        <v/>
      </c>
      <c r="I19" s="2" t="inlineStr">
        <is>
          <t>2026-08-19 17:54:59</t>
        </is>
      </c>
    </row>
    <row r="20" ht="26.4" customHeight="1" s="12" thickBot="1">
      <c r="A20" s="7" t="inlineStr">
        <is>
          <t>MOM30IETF</t>
        </is>
      </c>
      <c r="B20" s="2" t="inlineStr">
        <is>
          <t>NSE_EQ|INF109KC17C7</t>
        </is>
      </c>
      <c r="C20" s="3" t="n">
        <v>31.27</v>
      </c>
      <c r="D20" s="4" t="n">
        <v>50</v>
      </c>
      <c r="E20" s="4" t="n">
        <v>872216</v>
      </c>
      <c r="F20" s="3" t="n">
        <v>31.66</v>
      </c>
      <c r="G20" s="3">
        <f>IF(A20="","",C20-F20)</f>
        <v/>
      </c>
      <c r="H20" s="5">
        <f>IF(OR(A20="",F20=0),"",(C20-F20)/F20)</f>
        <v/>
      </c>
      <c r="I20" s="2" t="inlineStr">
        <is>
          <t>2026-08-19 17:54:59</t>
        </is>
      </c>
    </row>
    <row r="21" ht="26.4" customHeight="1" s="12" thickBot="1">
      <c r="A21" s="7" t="inlineStr">
        <is>
          <t>BANKIETF</t>
        </is>
      </c>
      <c r="B21" s="2" t="inlineStr">
        <is>
          <t>NSE_EQ|INF109KC15I8</t>
        </is>
      </c>
      <c r="C21" s="3" t="n">
        <v>58.82</v>
      </c>
      <c r="D21" s="4" t="n">
        <v>2</v>
      </c>
      <c r="E21" s="4" t="n">
        <v>340691</v>
      </c>
      <c r="F21" s="3" t="n">
        <v>58.98</v>
      </c>
      <c r="G21" s="3">
        <f>IF(A21="","",C21-F21)</f>
        <v/>
      </c>
      <c r="H21" s="5">
        <f>IF(OR(A21="",F21=0),"",(C21-F21)/F21)</f>
        <v/>
      </c>
      <c r="I21" s="2" t="inlineStr">
        <is>
          <t>2026-08-19 17:54:59</t>
        </is>
      </c>
    </row>
    <row r="22" ht="26.4" customHeight="1" s="12" thickBot="1">
      <c r="A22" s="7" t="inlineStr">
        <is>
          <t>MOREALTY</t>
        </is>
      </c>
      <c r="B22" s="2" t="inlineStr">
        <is>
          <t>NSE_EQ|INF247L01CI4</t>
        </is>
      </c>
      <c r="C22" s="3" t="n">
        <v>89.43000000000001</v>
      </c>
      <c r="D22" s="4" t="n">
        <v>1</v>
      </c>
      <c r="E22" s="4" t="n">
        <v>471213</v>
      </c>
      <c r="F22" s="3" t="n">
        <v>90.43000000000001</v>
      </c>
      <c r="G22" s="3">
        <f>IF(A22="","",C22-F22)</f>
        <v/>
      </c>
      <c r="H22" s="5">
        <f>IF(OR(A22="",F22=0),"",(C22-F22)/F22)</f>
        <v/>
      </c>
      <c r="I22" s="2" t="inlineStr">
        <is>
          <t>2026-08-19 17:54:59</t>
        </is>
      </c>
    </row>
    <row r="23" ht="26.4" customHeight="1" s="12" thickBot="1">
      <c r="A23" s="7" t="inlineStr">
        <is>
          <t>HDFCNIFBAN</t>
        </is>
      </c>
      <c r="B23" s="2" t="inlineStr">
        <is>
          <t>NSE_EQ|INF179KC1HY0</t>
        </is>
      </c>
      <c r="C23" s="3" t="n">
        <v>58.88</v>
      </c>
      <c r="D23" s="4" t="n">
        <v>363</v>
      </c>
      <c r="E23" s="4" t="n">
        <v>312773</v>
      </c>
      <c r="F23" s="3" t="n">
        <v>59.23</v>
      </c>
      <c r="G23" s="3">
        <f>IF(A23="","",C23-F23)</f>
        <v/>
      </c>
      <c r="H23" s="5">
        <f>IF(OR(A23="",F23=0),"",(C23-F23)/F23)</f>
        <v/>
      </c>
      <c r="I23" s="2" t="inlineStr">
        <is>
          <t>2026-08-19 17:54:59</t>
        </is>
      </c>
    </row>
    <row r="24" ht="26.4" customHeight="1" s="12" thickBot="1">
      <c r="A24" s="7" t="inlineStr">
        <is>
          <t>IVZINNIFTY</t>
        </is>
      </c>
      <c r="B24" s="2" t="inlineStr">
        <is>
          <t>NSE_EQ|INF205KA1CC7</t>
        </is>
      </c>
      <c r="C24" s="3" t="n">
        <v>276.07</v>
      </c>
      <c r="D24" s="4" t="n">
        <v>90</v>
      </c>
      <c r="E24" s="4" t="n">
        <v>244</v>
      </c>
      <c r="F24" s="3" t="n">
        <v>277.59</v>
      </c>
      <c r="G24" s="3">
        <f>IF(A24="","",C24-F24)</f>
        <v/>
      </c>
      <c r="H24" s="5">
        <f>IF(OR(A24="",F24=0),"",(C24-F24)/F24)</f>
        <v/>
      </c>
      <c r="I24" s="2" t="inlineStr">
        <is>
          <t>2026-08-19 17:54:59</t>
        </is>
      </c>
    </row>
    <row r="25" ht="26.4" customHeight="1" s="12" thickBot="1">
      <c r="A25" s="7" t="inlineStr">
        <is>
          <t>BANKNIFTY1</t>
        </is>
      </c>
      <c r="B25" s="2" t="inlineStr">
        <is>
          <t>NSE_EQ|INF174KA1ZB7</t>
        </is>
      </c>
      <c r="C25" s="3" t="n">
        <v>59.34</v>
      </c>
      <c r="D25" s="4" t="n">
        <v>1123</v>
      </c>
      <c r="E25" s="4" t="n">
        <v>422108</v>
      </c>
      <c r="F25" s="3" t="n">
        <v>59.63</v>
      </c>
      <c r="G25" s="3">
        <f>IF(A25="","",C25-F25)</f>
        <v/>
      </c>
      <c r="H25" s="5">
        <f>IF(OR(A25="",F25=0),"",(C25-F25)/F25)</f>
        <v/>
      </c>
      <c r="I25" s="2" t="inlineStr">
        <is>
          <t>2026-08-19 17:54:59</t>
        </is>
      </c>
    </row>
    <row r="26" ht="26.4" customHeight="1" s="12" thickBot="1">
      <c r="A26" s="7" t="inlineStr">
        <is>
          <t>UTIBANKETF</t>
        </is>
      </c>
      <c r="B26" s="2" t="inlineStr">
        <is>
          <t>NOT FOUND</t>
        </is>
      </c>
      <c r="C26" s="3" t="n"/>
      <c r="D26" s="4" t="n"/>
      <c r="E26" s="4" t="n"/>
      <c r="F26" s="3" t="n"/>
      <c r="G26" s="3">
        <f>IF(A26="","",C26-F26)</f>
        <v/>
      </c>
      <c r="H26" s="5">
        <f>IF(OR(A26="",F26=0),"",(C26-F26)/F26)</f>
        <v/>
      </c>
      <c r="I26" s="2" t="n"/>
    </row>
    <row r="27" ht="26.4" customHeight="1" s="12" thickBot="1">
      <c r="A27" s="7" t="inlineStr">
        <is>
          <t>MOMOMENTUM</t>
        </is>
      </c>
      <c r="B27" s="2" t="inlineStr">
        <is>
          <t>NSE_EQ|INF247L01BK2</t>
        </is>
      </c>
      <c r="C27" s="3" t="n">
        <v>62.2</v>
      </c>
      <c r="D27" s="4" t="n">
        <v>205</v>
      </c>
      <c r="E27" s="4" t="n">
        <v>53710</v>
      </c>
      <c r="F27" s="3" t="n">
        <v>63.04</v>
      </c>
      <c r="G27" s="3">
        <f>IF(A27="","",C27-F27)</f>
        <v/>
      </c>
      <c r="H27" s="5">
        <f>IF(OR(A27="",F27=0),"",(C27-F27)/F27)</f>
        <v/>
      </c>
      <c r="I27" s="2" t="inlineStr">
        <is>
          <t>2026-08-19 17:54:59</t>
        </is>
      </c>
    </row>
    <row r="28" ht="26.4" customHeight="1" s="12" thickBot="1">
      <c r="A28" s="7" t="inlineStr">
        <is>
          <t>MOMENTUM</t>
        </is>
      </c>
      <c r="B28" s="2" t="inlineStr">
        <is>
          <t>NSE_EQ|INF209KB14K7</t>
        </is>
      </c>
      <c r="C28" s="3" t="n">
        <v>31.25</v>
      </c>
      <c r="D28" s="4" t="n">
        <v>50</v>
      </c>
      <c r="E28" s="4" t="n">
        <v>163712</v>
      </c>
      <c r="F28" s="3" t="n">
        <v>31.47</v>
      </c>
      <c r="G28" s="3">
        <f>IF(A28="","",C28-F28)</f>
        <v/>
      </c>
      <c r="H28" s="5">
        <f>IF(OR(A28="",F28=0),"",(C28-F28)/F28)</f>
        <v/>
      </c>
      <c r="I28" s="2" t="inlineStr">
        <is>
          <t>2026-08-19 17:54:59</t>
        </is>
      </c>
    </row>
    <row r="29" ht="26.4" customHeight="1" s="12" thickBot="1">
      <c r="A29" s="7" t="inlineStr">
        <is>
          <t>PSUBNKBEES</t>
        </is>
      </c>
      <c r="B29" s="2" t="inlineStr">
        <is>
          <t>NSE_EQ|INF204KB16I7</t>
        </is>
      </c>
      <c r="C29" s="3" t="n">
        <v>96.13</v>
      </c>
      <c r="D29" s="4" t="n">
        <v>3200</v>
      </c>
      <c r="E29" s="4" t="n">
        <v>875252</v>
      </c>
      <c r="F29" s="3" t="n">
        <v>96.52</v>
      </c>
      <c r="G29" s="3">
        <f>IF(A29="","",C29-F29)</f>
        <v/>
      </c>
      <c r="H29" s="5">
        <f>IF(OR(A29="",F29=0),"",(C29-F29)/F29)</f>
        <v/>
      </c>
      <c r="I29" s="2" t="inlineStr">
        <is>
          <t>2026-08-19 17:54:59</t>
        </is>
      </c>
    </row>
    <row r="30" ht="26.4" customHeight="1" s="12" thickBot="1">
      <c r="A30" s="7" t="inlineStr">
        <is>
          <t>PSUBNKIETF</t>
        </is>
      </c>
      <c r="B30" s="2" t="inlineStr">
        <is>
          <t>NSE_EQ|INF109KC10S8</t>
        </is>
      </c>
      <c r="C30" s="3" t="n">
        <v>87.59</v>
      </c>
      <c r="D30" s="4" t="n">
        <v>3</v>
      </c>
      <c r="E30" s="4" t="n">
        <v>54357</v>
      </c>
      <c r="F30" s="3" t="n">
        <v>87.45</v>
      </c>
      <c r="G30" s="3">
        <f>IF(A30="","",C30-F30)</f>
        <v/>
      </c>
      <c r="H30" s="5">
        <f>IF(OR(A30="",F30=0),"",(C30-F30)/F30)</f>
        <v/>
      </c>
      <c r="I30" s="2" t="inlineStr">
        <is>
          <t>2026-08-19 17:54:59</t>
        </is>
      </c>
    </row>
    <row r="31" ht="26.4" customHeight="1" s="12" thickBot="1">
      <c r="A31" s="7" t="inlineStr">
        <is>
          <t>NIF5GETF</t>
        </is>
      </c>
      <c r="B31" s="2" t="inlineStr">
        <is>
          <t>NOT FOUND</t>
        </is>
      </c>
      <c r="C31" s="3" t="n"/>
      <c r="D31" s="4" t="n"/>
      <c r="E31" s="4" t="n"/>
      <c r="F31" s="3" t="n"/>
      <c r="G31" s="3">
        <f>IF(A31="","",C31-F31)</f>
        <v/>
      </c>
      <c r="H31" s="5">
        <f>IF(OR(A31="",F31=0),"",(C31-F31)/F31)</f>
        <v/>
      </c>
      <c r="I31" s="2" t="n"/>
    </row>
    <row r="32" ht="26.4" customHeight="1" s="12" thickBot="1">
      <c r="A32" s="7" t="inlineStr">
        <is>
          <t>MOHEALTH</t>
        </is>
      </c>
      <c r="B32" s="2" t="inlineStr">
        <is>
          <t>NSE_EQ|INF247L01BB1</t>
        </is>
      </c>
      <c r="C32" s="3" t="n">
        <v>51.4</v>
      </c>
      <c r="D32" s="4" t="n">
        <v>2</v>
      </c>
      <c r="E32" s="4" t="n">
        <v>27562</v>
      </c>
      <c r="F32" s="3" t="n">
        <v>51.46</v>
      </c>
      <c r="G32" s="3">
        <f>IF(A32="","",C32-F32)</f>
        <v/>
      </c>
      <c r="H32" s="5">
        <f>IF(OR(A32="",F32=0),"",(C32-F32)/F32)</f>
        <v/>
      </c>
      <c r="I32" s="2" t="inlineStr">
        <is>
          <t>2026-08-19 17:54:59</t>
        </is>
      </c>
    </row>
    <row r="33" ht="26.4" customHeight="1" s="12" thickBot="1">
      <c r="A33" s="7" t="inlineStr">
        <is>
          <t>FMCGIETF</t>
        </is>
      </c>
      <c r="B33" s="2" t="inlineStr">
        <is>
          <t>NSE_EQ|INF109KC19V3</t>
        </is>
      </c>
      <c r="C33" s="3" t="n">
        <v>51.17</v>
      </c>
      <c r="D33" s="4" t="n">
        <v>62</v>
      </c>
      <c r="E33" s="4" t="n">
        <v>1017354</v>
      </c>
      <c r="F33" s="3" t="n">
        <v>51.35</v>
      </c>
      <c r="G33" s="3">
        <f>IF(A33="","",C33-F33)</f>
        <v/>
      </c>
      <c r="H33" s="5">
        <f>IF(OR(A33="",F33=0),"",(C33-F33)/F33)</f>
        <v/>
      </c>
      <c r="I33" s="2" t="inlineStr">
        <is>
          <t>2026-08-19 17:54:59</t>
        </is>
      </c>
    </row>
    <row r="34" ht="26.4" customHeight="1" s="12" thickBot="1">
      <c r="A34" s="7" t="inlineStr">
        <is>
          <t>HEALTHIETF</t>
        </is>
      </c>
      <c r="B34" s="2" t="inlineStr">
        <is>
          <t>NSE_EQ|INF109KC1Q72</t>
        </is>
      </c>
      <c r="C34" s="3" t="n">
        <v>169.24</v>
      </c>
      <c r="D34" s="4" t="n">
        <v>3</v>
      </c>
      <c r="E34" s="4" t="n">
        <v>56446</v>
      </c>
      <c r="F34" s="3" t="n">
        <v>168.95</v>
      </c>
      <c r="G34" s="3">
        <f>IF(A34="","",C34-F34)</f>
        <v/>
      </c>
      <c r="H34" s="5">
        <f>IF(OR(A34="",F34=0),"",(C34-F34)/F34)</f>
        <v/>
      </c>
      <c r="I34" s="2" t="inlineStr">
        <is>
          <t>2026-08-19 17:54:59</t>
        </is>
      </c>
    </row>
    <row r="35" ht="26.4" customHeight="1" s="12" thickBot="1">
      <c r="A35" s="7" t="inlineStr">
        <is>
          <t>MIDSMALL</t>
        </is>
      </c>
      <c r="B35" s="2" t="inlineStr">
        <is>
          <t>NSE_EQ|INF769K01LJ8</t>
        </is>
      </c>
      <c r="C35" s="3" t="n">
        <v>51.91</v>
      </c>
      <c r="D35" s="4" t="n">
        <v>30</v>
      </c>
      <c r="E35" s="4" t="n">
        <v>277258</v>
      </c>
      <c r="F35" s="3" t="n">
        <v>52.33</v>
      </c>
      <c r="G35" s="3">
        <f>IF(A35="","",C35-F35)</f>
        <v/>
      </c>
      <c r="H35" s="5">
        <f>IF(OR(A35="",F35=0),"",(C35-F35)/F35)</f>
        <v/>
      </c>
      <c r="I35" s="2" t="inlineStr">
        <is>
          <t>2026-08-19 17:54:59</t>
        </is>
      </c>
    </row>
    <row r="36" ht="26.4" customHeight="1" s="12" thickBot="1">
      <c r="A36" s="7" t="inlineStr">
        <is>
          <t>BSE500IETF</t>
        </is>
      </c>
      <c r="B36" s="2" t="inlineStr">
        <is>
          <t>NSE_EQ|INF109KC1V59</t>
        </is>
      </c>
      <c r="C36" s="3" t="n">
        <v>39.62</v>
      </c>
      <c r="D36" s="4" t="n">
        <v>44</v>
      </c>
      <c r="E36" s="4" t="n">
        <v>85980</v>
      </c>
      <c r="F36" s="3" t="n">
        <v>39.9</v>
      </c>
      <c r="G36" s="3">
        <f>IF(A36="","",C36-F36)</f>
        <v/>
      </c>
      <c r="H36" s="5">
        <f>IF(OR(A36="",F36=0),"",(C36-F36)/F36)</f>
        <v/>
      </c>
      <c r="I36" s="2" t="inlineStr">
        <is>
          <t>2026-08-19 17:54:59</t>
        </is>
      </c>
    </row>
    <row r="37" ht="26.4" customHeight="1" s="12" thickBot="1">
      <c r="A37" s="7" t="inlineStr">
        <is>
          <t>HDFCPSUBK</t>
        </is>
      </c>
      <c r="B37" s="2" t="inlineStr">
        <is>
          <t>NSE_EQ|INF179KC1HW4</t>
        </is>
      </c>
      <c r="C37" s="3" t="n">
        <v>86.5</v>
      </c>
      <c r="D37" s="4" t="n">
        <v>1</v>
      </c>
      <c r="E37" s="4" t="n">
        <v>33934</v>
      </c>
      <c r="F37" s="3" t="n">
        <v>87.17</v>
      </c>
      <c r="G37" s="3">
        <f>IF(A37="","",C37-F37)</f>
        <v/>
      </c>
      <c r="H37" s="5">
        <f>IF(OR(A37="",F37=0),"",(C37-F37)/F37)</f>
        <v/>
      </c>
      <c r="I37" s="2" t="inlineStr">
        <is>
          <t>2026-08-19 17:54:59</t>
        </is>
      </c>
    </row>
    <row r="38" ht="26.4" customHeight="1" s="12" thickBot="1">
      <c r="A38" s="7" t="inlineStr">
        <is>
          <t>MASPTOP50</t>
        </is>
      </c>
      <c r="B38" s="2" t="inlineStr">
        <is>
          <t>NSE_EQ|INF769K01HP3</t>
        </is>
      </c>
      <c r="C38" s="3" t="n">
        <v>80.83</v>
      </c>
      <c r="D38" s="4" t="n">
        <v>35</v>
      </c>
      <c r="E38" s="4" t="n">
        <v>94313</v>
      </c>
      <c r="F38" s="3" t="n">
        <v>81.02</v>
      </c>
      <c r="G38" s="3">
        <f>IF(A38="","",C38-F38)</f>
        <v/>
      </c>
      <c r="H38" s="5">
        <f>IF(OR(A38="",F38=0),"",(C38-F38)/F38)</f>
        <v/>
      </c>
      <c r="I38" s="2" t="inlineStr">
        <is>
          <t>2026-08-19 17:54:59</t>
        </is>
      </c>
    </row>
    <row r="39" ht="26.4" customHeight="1" s="12" thickBot="1">
      <c r="A39" s="7" t="inlineStr">
        <is>
          <t>MONQ50</t>
        </is>
      </c>
      <c r="B39" s="2" t="inlineStr">
        <is>
          <t>NSE_EQ|INF247L01AU3</t>
        </is>
      </c>
      <c r="C39" s="3" t="n">
        <v>151.65</v>
      </c>
      <c r="D39" s="4" t="n">
        <v>2</v>
      </c>
      <c r="E39" s="4" t="n">
        <v>134519</v>
      </c>
      <c r="F39" s="3" t="n">
        <v>151.2</v>
      </c>
      <c r="G39" s="3">
        <f>IF(A39="","",C39-F39)</f>
        <v/>
      </c>
      <c r="H39" s="5">
        <f>IF(OR(A39="",F39=0),"",(C39-F39)/F39)</f>
        <v/>
      </c>
      <c r="I39" s="2" t="inlineStr">
        <is>
          <t>2026-08-19 17:54:59</t>
        </is>
      </c>
    </row>
    <row r="40" ht="26.4" customHeight="1" s="12" thickBot="1">
      <c r="A40" s="7" t="inlineStr">
        <is>
          <t>AUTOIETF</t>
        </is>
      </c>
      <c r="B40" s="2" t="inlineStr">
        <is>
          <t>NSE_EQ|INF109KC10V2</t>
        </is>
      </c>
      <c r="C40" s="3" t="n">
        <v>30.2</v>
      </c>
      <c r="D40" s="4" t="n">
        <v>2</v>
      </c>
      <c r="E40" s="4" t="n">
        <v>917682</v>
      </c>
      <c r="F40" s="3" t="n">
        <v>30.4</v>
      </c>
      <c r="G40" s="3">
        <f>IF(A40="","",C40-F40)</f>
        <v/>
      </c>
      <c r="H40" s="5">
        <f>IF(OR(A40="",F40=0),"",(C40-F40)/F40)</f>
        <v/>
      </c>
      <c r="I40" s="2" t="inlineStr">
        <is>
          <t>2026-08-19 17:54:59</t>
        </is>
      </c>
    </row>
    <row r="41" ht="26.4" customHeight="1" s="12" thickBot="1">
      <c r="A41" s="7" t="inlineStr">
        <is>
          <t>HDFCNIFTY</t>
        </is>
      </c>
      <c r="B41" s="2" t="inlineStr">
        <is>
          <t>NSE_EQ|INF179KC1965</t>
        </is>
      </c>
      <c r="C41" s="3" t="n">
        <v>271.9</v>
      </c>
      <c r="D41" s="4" t="n">
        <v>44</v>
      </c>
      <c r="E41" s="4" t="n">
        <v>59746</v>
      </c>
      <c r="F41" s="3" t="n">
        <v>273.21</v>
      </c>
      <c r="G41" s="3">
        <f>IF(A41="","",C41-F41)</f>
        <v/>
      </c>
      <c r="H41" s="5">
        <f>IF(OR(A41="",F41=0),"",(C41-F41)/F41)</f>
        <v/>
      </c>
      <c r="I41" s="2" t="inlineStr">
        <is>
          <t>2026-08-19 17:54:59</t>
        </is>
      </c>
    </row>
    <row r="42" ht="26.4" customHeight="1" s="12" thickBot="1">
      <c r="A42" s="7" t="inlineStr">
        <is>
          <t>AUTOBEES</t>
        </is>
      </c>
      <c r="B42" s="2" t="inlineStr">
        <is>
          <t>NSE_EQ|INF204KC1337</t>
        </is>
      </c>
      <c r="C42" s="3" t="n">
        <v>302.5</v>
      </c>
      <c r="D42" s="4" t="n">
        <v>2</v>
      </c>
      <c r="E42" s="4" t="n">
        <v>160307</v>
      </c>
      <c r="F42" s="3" t="n">
        <v>303.77</v>
      </c>
      <c r="G42" s="3">
        <f>IF(A42="","",C42-F42)</f>
        <v/>
      </c>
      <c r="H42" s="5">
        <f>IF(OR(A42="",F42=0),"",(C42-F42)/F42)</f>
        <v/>
      </c>
      <c r="I42" s="2" t="inlineStr">
        <is>
          <t>2026-08-19 17:54:59</t>
        </is>
      </c>
    </row>
    <row r="43" ht="26.4" customHeight="1" s="12" thickBot="1">
      <c r="A43" s="7" t="inlineStr">
        <is>
          <t>NIFTYBEES</t>
        </is>
      </c>
      <c r="B43" s="2" t="inlineStr">
        <is>
          <t>NSE_EQ|INF204KB14I2</t>
        </is>
      </c>
      <c r="C43" s="3" t="n">
        <v>274.62</v>
      </c>
      <c r="D43" s="4" t="n">
        <v>500</v>
      </c>
      <c r="E43" s="4" t="n">
        <v>6107344</v>
      </c>
      <c r="F43" s="3" t="n">
        <v>276.1</v>
      </c>
      <c r="G43" s="3">
        <f>IF(A43="","",C43-F43)</f>
        <v/>
      </c>
      <c r="H43" s="5">
        <f>IF(OR(A43="",F43=0),"",(C43-F43)/F43)</f>
        <v/>
      </c>
      <c r="I43" s="2" t="inlineStr">
        <is>
          <t>2026-08-19 17:54:59</t>
        </is>
      </c>
    </row>
    <row r="44" ht="26.4" customHeight="1" s="12" thickBot="1">
      <c r="A44" s="7" t="inlineStr">
        <is>
          <t>NIFTYIETF</t>
        </is>
      </c>
      <c r="B44" s="2" t="inlineStr">
        <is>
          <t>NSE_EQ|INF109K012R6</t>
        </is>
      </c>
      <c r="C44" s="3" t="n">
        <v>273.41</v>
      </c>
      <c r="D44" s="4" t="n">
        <v>1</v>
      </c>
      <c r="E44" s="4" t="n">
        <v>474062</v>
      </c>
      <c r="F44" s="3" t="n">
        <v>274.6</v>
      </c>
      <c r="G44" s="3">
        <f>IF(A44="","",C44-F44)</f>
        <v/>
      </c>
      <c r="H44" s="5">
        <f>IF(OR(A44="",F44=0),"",(C44-F44)/F44)</f>
        <v/>
      </c>
      <c r="I44" s="2" t="inlineStr">
        <is>
          <t>2026-08-19 17:54:59</t>
        </is>
      </c>
    </row>
    <row r="45" ht="26.4" customHeight="1" s="12" thickBot="1">
      <c r="A45" s="7" t="inlineStr">
        <is>
          <t>SETFNIF50</t>
        </is>
      </c>
      <c r="B45" s="2" t="inlineStr">
        <is>
          <t>NSE_EQ|INF200KA1FS1</t>
        </is>
      </c>
      <c r="C45" s="3" t="n">
        <v>259.56</v>
      </c>
      <c r="D45" s="4" t="n">
        <v>5</v>
      </c>
      <c r="E45" s="4" t="n">
        <v>664464</v>
      </c>
      <c r="F45" s="3" t="n">
        <v>260.94</v>
      </c>
      <c r="G45" s="3">
        <f>IF(A45="","",C45-F45)</f>
        <v/>
      </c>
      <c r="H45" s="5">
        <f>IF(OR(A45="",F45=0),"",(C45-F45)/F45)</f>
        <v/>
      </c>
      <c r="I45" s="2" t="inlineStr">
        <is>
          <t>2026-08-19 17:54:59</t>
        </is>
      </c>
    </row>
    <row r="46" ht="26.4" customHeight="1" s="12" thickBot="1">
      <c r="A46" s="7" t="inlineStr">
        <is>
          <t>HEALTHY</t>
        </is>
      </c>
      <c r="B46" s="2" t="inlineStr">
        <is>
          <t>NSE_EQ|INF209KB10C2</t>
        </is>
      </c>
      <c r="C46" s="3" t="n">
        <v>16.95</v>
      </c>
      <c r="D46" s="4" t="n">
        <v>4340</v>
      </c>
      <c r="E46" s="4" t="n">
        <v>144930</v>
      </c>
      <c r="F46" s="3" t="n">
        <v>16.95</v>
      </c>
      <c r="G46" s="3">
        <f>IF(A46="","",C46-F46)</f>
        <v/>
      </c>
      <c r="H46" s="5">
        <f>IF(OR(A46="",F46=0),"",(C46-F46)/F46)</f>
        <v/>
      </c>
      <c r="I46" s="2" t="inlineStr">
        <is>
          <t>2026-08-19 17:54:59</t>
        </is>
      </c>
    </row>
    <row r="47" ht="26.4" customHeight="1" s="12" thickBot="1">
      <c r="A47" s="7" t="inlineStr">
        <is>
          <t>BSLNIFTY</t>
        </is>
      </c>
      <c r="B47" s="2" t="inlineStr">
        <is>
          <t>NSE_EQ|INF209KB19D1</t>
        </is>
      </c>
      <c r="C47" s="3" t="n">
        <v>28.28</v>
      </c>
      <c r="D47" s="4" t="n">
        <v>5</v>
      </c>
      <c r="E47" s="4" t="n">
        <v>707466</v>
      </c>
      <c r="F47" s="3" t="n">
        <v>28.44</v>
      </c>
      <c r="G47" s="3">
        <f>IF(A47="","",C47-F47)</f>
        <v/>
      </c>
      <c r="H47" s="5">
        <f>IF(OR(A47="",F47=0),"",(C47-F47)/F47)</f>
        <v/>
      </c>
      <c r="I47" s="2" t="inlineStr">
        <is>
          <t>2026-08-19 17:54:59</t>
        </is>
      </c>
    </row>
    <row r="48" ht="26.4" customHeight="1" s="12" thickBot="1">
      <c r="A48" s="7" t="inlineStr">
        <is>
          <t>NIFTYETF</t>
        </is>
      </c>
      <c r="B48" s="2" t="inlineStr">
        <is>
          <t>NSE_EQ|INF769K01EG9</t>
        </is>
      </c>
      <c r="C48" s="3" t="n">
        <v>262.51</v>
      </c>
      <c r="D48" s="4" t="n">
        <v>400</v>
      </c>
      <c r="E48" s="4" t="n">
        <v>820285</v>
      </c>
      <c r="F48" s="3" t="n">
        <v>263.65</v>
      </c>
      <c r="G48" s="3">
        <f>IF(A48="","",C48-F48)</f>
        <v/>
      </c>
      <c r="H48" s="5">
        <f>IF(OR(A48="",F48=0),"",(C48-F48)/F48)</f>
        <v/>
      </c>
      <c r="I48" s="2" t="inlineStr">
        <is>
          <t>2026-08-19 17:54:59</t>
        </is>
      </c>
    </row>
    <row r="49" ht="26.4" customHeight="1" s="12" thickBot="1">
      <c r="A49" s="7" t="inlineStr">
        <is>
          <t>UTINIFTETF</t>
        </is>
      </c>
      <c r="B49" s="2" t="inlineStr">
        <is>
          <t>NOT FOUND</t>
        </is>
      </c>
      <c r="C49" s="3" t="n"/>
      <c r="D49" s="4" t="n"/>
      <c r="E49" s="4" t="n"/>
      <c r="F49" s="3" t="n"/>
      <c r="G49" s="3">
        <f>IF(A49="","",C49-F49)</f>
        <v/>
      </c>
      <c r="H49" s="5">
        <f>IF(OR(A49="",F49=0),"",(C49-F49)/F49)</f>
        <v/>
      </c>
      <c r="I49" s="2" t="n"/>
    </row>
    <row r="50" ht="26.4" customHeight="1" s="12" thickBot="1">
      <c r="A50" s="7" t="inlineStr">
        <is>
          <t>HDFCSENSEX</t>
        </is>
      </c>
      <c r="B50" s="2" t="inlineStr">
        <is>
          <t>NSE_EQ|INF179KC1HX2</t>
        </is>
      </c>
      <c r="C50" s="3" t="n">
        <v>87.72</v>
      </c>
      <c r="D50" s="4" t="n">
        <v>10</v>
      </c>
      <c r="E50" s="4" t="n">
        <v>24563</v>
      </c>
      <c r="F50" s="3" t="n">
        <v>87.77</v>
      </c>
      <c r="G50" s="3">
        <f>IF(A50="","",C50-F50)</f>
        <v/>
      </c>
      <c r="H50" s="5">
        <f>IF(OR(A50="",F50=0),"",(C50-F50)/F50)</f>
        <v/>
      </c>
      <c r="I50" s="2" t="inlineStr">
        <is>
          <t>2026-08-19 17:54:59</t>
        </is>
      </c>
    </row>
    <row r="51" ht="26.4" customHeight="1" s="12" thickBot="1">
      <c r="A51" s="7" t="inlineStr">
        <is>
          <t>MON100</t>
        </is>
      </c>
      <c r="B51" s="2" t="inlineStr">
        <is>
          <t>NSE_EQ|INF247L01AP3</t>
        </is>
      </c>
      <c r="C51" s="3" t="n">
        <v>336.38</v>
      </c>
      <c r="D51" s="4" t="n">
        <v>100</v>
      </c>
      <c r="E51" s="4" t="n">
        <v>966987</v>
      </c>
      <c r="F51" s="3" t="n">
        <v>336.33</v>
      </c>
      <c r="G51" s="3">
        <f>IF(A51="","",C51-F51)</f>
        <v/>
      </c>
      <c r="H51" s="5">
        <f>IF(OR(A51="",F51=0),"",(C51-F51)/F51)</f>
        <v/>
      </c>
      <c r="I51" s="2" t="inlineStr">
        <is>
          <t>2026-08-19 17:54:59</t>
        </is>
      </c>
    </row>
    <row r="52" ht="26.4" customHeight="1" s="12" thickBot="1">
      <c r="A52" s="7" t="inlineStr">
        <is>
          <t>MONIFTY500</t>
        </is>
      </c>
      <c r="B52" s="2" t="inlineStr">
        <is>
          <t>NSE_EQ|INF247L01BU1</t>
        </is>
      </c>
      <c r="C52" s="3" t="n">
        <v>24.03</v>
      </c>
      <c r="D52" s="4" t="n">
        <v>500</v>
      </c>
      <c r="E52" s="4" t="n">
        <v>554753</v>
      </c>
      <c r="F52" s="3" t="n">
        <v>24.16</v>
      </c>
      <c r="G52" s="3">
        <f>IF(A52="","",C52-F52)</f>
        <v/>
      </c>
      <c r="H52" s="5">
        <f>IF(OR(A52="",F52=0),"",(C52-F52)/F52)</f>
        <v/>
      </c>
      <c r="I52" s="2" t="inlineStr">
        <is>
          <t>2026-08-19 17:54:59</t>
        </is>
      </c>
    </row>
    <row r="53" ht="26.4" customHeight="1" s="12" thickBot="1">
      <c r="A53" s="7" t="inlineStr">
        <is>
          <t>NIFTY1</t>
        </is>
      </c>
      <c r="B53" s="2" t="inlineStr">
        <is>
          <t>NSE_EQ|INF174K014P6</t>
        </is>
      </c>
      <c r="C53" s="3" t="n">
        <v>268.06</v>
      </c>
      <c r="D53" s="4" t="n">
        <v>1</v>
      </c>
      <c r="E53" s="4" t="n">
        <v>57562</v>
      </c>
      <c r="F53" s="3" t="n">
        <v>269.09</v>
      </c>
      <c r="G53" s="3">
        <f>IF(A53="","",C53-F53)</f>
        <v/>
      </c>
      <c r="H53" s="5">
        <f>IF(OR(A53="",F53=0),"",(C53-F53)/F53)</f>
        <v/>
      </c>
      <c r="I53" s="2" t="inlineStr">
        <is>
          <t>2026-08-19 17:54:59</t>
        </is>
      </c>
    </row>
    <row r="54" ht="26.4" customHeight="1" s="12" thickBot="1">
      <c r="A54" s="7" t="inlineStr">
        <is>
          <t>TOP100CASE</t>
        </is>
      </c>
      <c r="B54" s="2" t="inlineStr">
        <is>
          <t>NSE_EQ|INF0R8F01067</t>
        </is>
      </c>
      <c r="C54" s="3" t="n">
        <v>10.62</v>
      </c>
      <c r="D54" s="4" t="n">
        <v>150</v>
      </c>
      <c r="E54" s="4" t="n">
        <v>575217</v>
      </c>
      <c r="F54" s="3" t="n">
        <v>10.69</v>
      </c>
      <c r="G54" s="3">
        <f>IF(A54="","",C54-F54)</f>
        <v/>
      </c>
      <c r="H54" s="5">
        <f>IF(OR(A54="",F54=0),"",(C54-F54)/F54)</f>
        <v/>
      </c>
      <c r="I54" s="2" t="inlineStr">
        <is>
          <t>2026-08-19 17:54:59</t>
        </is>
      </c>
    </row>
    <row r="55" ht="26.4" customHeight="1" s="12" thickBot="1">
      <c r="A55" s="7" t="inlineStr">
        <is>
          <t>NIF100IETF</t>
        </is>
      </c>
      <c r="B55" s="2" t="inlineStr">
        <is>
          <t>NSE_EQ|INF109KC16V9</t>
        </is>
      </c>
      <c r="C55" s="3" t="n">
        <v>28.22</v>
      </c>
      <c r="D55" s="4" t="n">
        <v>1</v>
      </c>
      <c r="E55" s="4" t="n">
        <v>65425</v>
      </c>
      <c r="F55" s="3" t="n">
        <v>28.38</v>
      </c>
      <c r="G55" s="3">
        <f>IF(A55="","",C55-F55)</f>
        <v/>
      </c>
      <c r="H55" s="5">
        <f>IF(OR(A55="",F55=0),"",(C55-F55)/F55)</f>
        <v/>
      </c>
      <c r="I55" s="2" t="inlineStr">
        <is>
          <t>2026-08-19 17:54:59</t>
        </is>
      </c>
    </row>
    <row r="56" ht="26.4" customHeight="1" s="12" thickBot="1">
      <c r="A56" s="7" t="inlineStr">
        <is>
          <t>LOWVOLIETF</t>
        </is>
      </c>
      <c r="B56" s="2" t="inlineStr">
        <is>
          <t>NSE_EQ|INF109KC19U5</t>
        </is>
      </c>
      <c r="C56" s="3" t="n">
        <v>22.28</v>
      </c>
      <c r="D56" s="4" t="n">
        <v>46</v>
      </c>
      <c r="E56" s="4" t="n">
        <v>1480900</v>
      </c>
      <c r="F56" s="3" t="n">
        <v>22.36</v>
      </c>
      <c r="G56" s="3">
        <f>IF(A56="","",C56-F56)</f>
        <v/>
      </c>
      <c r="H56" s="5">
        <f>IF(OR(A56="",F56=0),"",(C56-F56)/F56)</f>
        <v/>
      </c>
      <c r="I56" s="2" t="inlineStr">
        <is>
          <t>2026-08-19 17:54:59</t>
        </is>
      </c>
    </row>
    <row r="57" ht="26.4" customHeight="1" s="12" thickBot="1">
      <c r="A57" s="7" t="inlineStr">
        <is>
          <t>ALPL30IETF</t>
        </is>
      </c>
      <c r="B57" s="2" t="inlineStr">
        <is>
          <t>NSE_EQ|INF109KC17V7</t>
        </is>
      </c>
      <c r="C57" s="3" t="n">
        <v>28</v>
      </c>
      <c r="D57" s="4" t="n">
        <v>599</v>
      </c>
      <c r="E57" s="4" t="n">
        <v>270287</v>
      </c>
      <c r="F57" s="3" t="n">
        <v>28.27</v>
      </c>
      <c r="G57" s="3">
        <f>IF(A57="","",C57-F57)</f>
        <v/>
      </c>
      <c r="H57" s="5">
        <f>IF(OR(A57="",F57=0),"",(C57-F57)/F57)</f>
        <v/>
      </c>
      <c r="I57" s="2" t="inlineStr">
        <is>
          <t>2026-08-19 17:54:59</t>
        </is>
      </c>
    </row>
    <row r="58" ht="26.4" customHeight="1" s="12" thickBot="1">
      <c r="A58" s="7" t="inlineStr">
        <is>
          <t>JUNIORBEES</t>
        </is>
      </c>
      <c r="B58" s="2" t="inlineStr">
        <is>
          <t>NSE_EQ|INF732E01045</t>
        </is>
      </c>
      <c r="C58" s="3" t="n">
        <v>799.85</v>
      </c>
      <c r="D58" s="4" t="n">
        <v>10</v>
      </c>
      <c r="E58" s="4" t="n">
        <v>1560194</v>
      </c>
      <c r="F58" s="3" t="n">
        <v>805.9</v>
      </c>
      <c r="G58" s="3">
        <f>IF(A58="","",C58-F58)</f>
        <v/>
      </c>
      <c r="H58" s="5">
        <f>IF(OR(A58="",F58=0),"",(C58-F58)/F58)</f>
        <v/>
      </c>
      <c r="I58" s="2" t="inlineStr">
        <is>
          <t>2026-08-19 17:54:59</t>
        </is>
      </c>
    </row>
    <row r="59" ht="26.4" customHeight="1" s="12" thickBot="1">
      <c r="A59" s="7" t="inlineStr">
        <is>
          <t>HDFCBSE500</t>
        </is>
      </c>
      <c r="B59" s="2" t="inlineStr">
        <is>
          <t>NSE_EQ|INF179KC1EZ4</t>
        </is>
      </c>
      <c r="C59" s="3" t="n">
        <v>37.73</v>
      </c>
      <c r="D59" s="4" t="n">
        <v>4131</v>
      </c>
      <c r="E59" s="4" t="n">
        <v>567561</v>
      </c>
      <c r="F59" s="3" t="n">
        <v>37.75</v>
      </c>
      <c r="G59" s="3">
        <f>IF(A59="","",C59-F59)</f>
        <v/>
      </c>
      <c r="H59" s="5">
        <f>IF(OR(A59="",F59=0),"",(C59-F59)/F59)</f>
        <v/>
      </c>
      <c r="I59" s="2" t="inlineStr">
        <is>
          <t>2026-08-19 17:54:59</t>
        </is>
      </c>
    </row>
    <row r="60" ht="26.4" customHeight="1" s="12" thickBot="1">
      <c r="A60" s="7" t="inlineStr">
        <is>
          <t>HDFCSML250</t>
        </is>
      </c>
      <c r="B60" s="2" t="inlineStr">
        <is>
          <t>NSE_EQ|INF179KC1FB2</t>
        </is>
      </c>
      <c r="C60" s="3" t="n">
        <v>183.97</v>
      </c>
      <c r="D60" s="4" t="n">
        <v>10</v>
      </c>
      <c r="E60" s="4" t="n">
        <v>894851</v>
      </c>
      <c r="F60" s="3" t="n">
        <v>184.78</v>
      </c>
      <c r="G60" s="3">
        <f>IF(A60="","",C60-F60)</f>
        <v/>
      </c>
      <c r="H60" s="5">
        <f>IF(OR(A60="",F60=0),"",(C60-F60)/F60)</f>
        <v/>
      </c>
      <c r="I60" s="2" t="inlineStr">
        <is>
          <t>2026-08-19 17:54:59</t>
        </is>
      </c>
    </row>
    <row r="61" ht="26.4" customHeight="1" s="12" thickBot="1">
      <c r="A61" s="7" t="inlineStr">
        <is>
          <t>HDFCLOWVOL</t>
        </is>
      </c>
      <c r="B61" s="2" t="inlineStr">
        <is>
          <t>NSE_EQ|INF179KC1HU8</t>
        </is>
      </c>
      <c r="C61" s="3" t="n">
        <v>20.77</v>
      </c>
      <c r="D61" s="4" t="n">
        <v>81</v>
      </c>
      <c r="E61" s="4" t="n">
        <v>8907</v>
      </c>
      <c r="F61" s="3" t="n">
        <v>20.85</v>
      </c>
      <c r="G61" s="3">
        <f>IF(A61="","",C61-F61)</f>
        <v/>
      </c>
      <c r="H61" s="5">
        <f>IF(OR(A61="",F61=0),"",(C61-F61)/F61)</f>
        <v/>
      </c>
      <c r="I61" s="2" t="inlineStr">
        <is>
          <t>2026-08-19 17:54:59</t>
        </is>
      </c>
    </row>
    <row r="62" ht="26.4" customHeight="1" s="12" thickBot="1">
      <c r="A62" s="7" t="inlineStr">
        <is>
          <t>INFRAIETF</t>
        </is>
      </c>
      <c r="B62" s="2" t="inlineStr">
        <is>
          <t>NSE_EQ|INF109KC16E5</t>
        </is>
      </c>
      <c r="C62" s="3" t="n">
        <v>95.26000000000001</v>
      </c>
      <c r="D62" s="4" t="n">
        <v>93</v>
      </c>
      <c r="E62" s="4" t="n">
        <v>89012</v>
      </c>
      <c r="F62" s="3" t="n">
        <v>96.53</v>
      </c>
      <c r="G62" s="3">
        <f>IF(A62="","",C62-F62)</f>
        <v/>
      </c>
      <c r="H62" s="5">
        <f>IF(OR(A62="",F62=0),"",(C62-F62)/F62)</f>
        <v/>
      </c>
      <c r="I62" s="2" t="inlineStr">
        <is>
          <t>2026-08-19 17:54:59</t>
        </is>
      </c>
    </row>
    <row r="63" ht="26.4" customHeight="1" s="12" thickBot="1">
      <c r="A63" s="7" t="inlineStr">
        <is>
          <t>ESG</t>
        </is>
      </c>
      <c r="B63" s="2" t="inlineStr">
        <is>
          <t>NSE_EQ|INF769K01GS9</t>
        </is>
      </c>
      <c r="C63" s="3" t="n">
        <v>41.53</v>
      </c>
      <c r="D63" s="4" t="n">
        <v>1</v>
      </c>
      <c r="E63" s="4" t="n">
        <v>5099</v>
      </c>
      <c r="F63" s="3" t="n">
        <v>41.82</v>
      </c>
      <c r="G63" s="3">
        <f>IF(A63="","",C63-F63)</f>
        <v/>
      </c>
      <c r="H63" s="5">
        <f>IF(OR(A63="",F63=0),"",(C63-F63)/F63)</f>
        <v/>
      </c>
      <c r="I63" s="2" t="inlineStr">
        <is>
          <t>2026-08-19 17:54:59</t>
        </is>
      </c>
    </row>
    <row r="64" ht="26.4" customHeight="1" s="12" thickBot="1">
      <c r="A64" s="7" t="inlineStr">
        <is>
          <t>MIDCAP</t>
        </is>
      </c>
      <c r="B64" s="2" t="inlineStr">
        <is>
          <t>NSE_EQ|INF174KA1ZC5</t>
        </is>
      </c>
      <c r="C64" s="3" t="n">
        <v>18.56</v>
      </c>
      <c r="D64" s="4" t="n">
        <v>50</v>
      </c>
      <c r="E64" s="4" t="n">
        <v>145195</v>
      </c>
      <c r="F64" s="3" t="n">
        <v>18.64</v>
      </c>
      <c r="G64" s="3">
        <f>IF(A64="","",C64-F64)</f>
        <v/>
      </c>
      <c r="H64" s="5">
        <f>IF(OR(A64="",F64=0),"",(C64-F64)/F64)</f>
        <v/>
      </c>
      <c r="I64" s="2" t="inlineStr">
        <is>
          <t>2026-08-19 17:54:59</t>
        </is>
      </c>
    </row>
    <row r="65" ht="26.4" customHeight="1" s="12" thickBot="1">
      <c r="A65" s="7" t="inlineStr">
        <is>
          <t>MNC</t>
        </is>
      </c>
      <c r="B65" s="2" t="inlineStr">
        <is>
          <t>NSE_EQ|INF174KA1JF2</t>
        </is>
      </c>
      <c r="C65" s="3" t="n">
        <v>34.19</v>
      </c>
      <c r="D65" s="4" t="n">
        <v>30</v>
      </c>
      <c r="E65" s="4" t="n">
        <v>42555</v>
      </c>
      <c r="F65" s="3" t="n">
        <v>34.5</v>
      </c>
      <c r="G65" s="3">
        <f>IF(A65="","",C65-F65)</f>
        <v/>
      </c>
      <c r="H65" s="5">
        <f>IF(OR(A65="",F65=0),"",(C65-F65)/F65)</f>
        <v/>
      </c>
      <c r="I65" s="2" t="inlineStr">
        <is>
          <t>2026-08-19 17:54:59</t>
        </is>
      </c>
    </row>
    <row r="66" ht="26.4" customHeight="1" s="12" thickBot="1">
      <c r="A66" s="7" t="inlineStr">
        <is>
          <t>HDFCNIF100</t>
        </is>
      </c>
      <c r="B66" s="2" t="inlineStr">
        <is>
          <t>NSE_EQ|INF179KC1HR4</t>
        </is>
      </c>
      <c r="C66" s="3" t="n">
        <v>26.22</v>
      </c>
      <c r="D66" s="4" t="n">
        <v>25</v>
      </c>
      <c r="E66" s="4" t="n">
        <v>44052</v>
      </c>
      <c r="F66" s="3" t="n">
        <v>26.22</v>
      </c>
      <c r="G66" s="3">
        <f>IF(A66="","",C66-F66)</f>
        <v/>
      </c>
      <c r="H66" s="5">
        <f>IF(OR(A66="",F66=0),"",(C66-F66)/F66)</f>
        <v/>
      </c>
      <c r="I66" s="2" t="inlineStr">
        <is>
          <t>2026-08-19 17:54:59</t>
        </is>
      </c>
    </row>
    <row r="67" ht="26.4" customHeight="1" s="12" thickBot="1">
      <c r="A67" s="7" t="inlineStr">
        <is>
          <t>MOM100</t>
        </is>
      </c>
      <c r="B67" s="2" t="inlineStr">
        <is>
          <t>NSE_EQ|INF247L01023</t>
        </is>
      </c>
      <c r="C67" s="3" t="n">
        <v>68.51000000000001</v>
      </c>
      <c r="D67" s="4" t="n">
        <v>267</v>
      </c>
      <c r="E67" s="4" t="n">
        <v>171697</v>
      </c>
      <c r="F67" s="3" t="n">
        <v>68.61</v>
      </c>
      <c r="G67" s="3">
        <f>IF(A67="","",C67-F67)</f>
        <v/>
      </c>
      <c r="H67" s="5">
        <f>IF(OR(A67="",F67=0),"",(C67-F67)/F67)</f>
        <v/>
      </c>
      <c r="I67" s="2" t="inlineStr">
        <is>
          <t>2026-08-19 17:54:59</t>
        </is>
      </c>
    </row>
    <row r="68" ht="26.4" customHeight="1" s="12" thickBot="1">
      <c r="A68" s="7" t="inlineStr">
        <is>
          <t>PHARMABEES</t>
        </is>
      </c>
      <c r="B68" s="2" t="inlineStr">
        <is>
          <t>NSE_EQ|INF204KC1089</t>
        </is>
      </c>
      <c r="C68" s="3" t="n">
        <v>27.04</v>
      </c>
      <c r="D68" s="4" t="n">
        <v>20</v>
      </c>
      <c r="E68" s="4" t="n">
        <v>3526949</v>
      </c>
      <c r="F68" s="3" t="n">
        <v>27.18</v>
      </c>
      <c r="G68" s="3">
        <f>IF(A68="","",C68-F68)</f>
        <v/>
      </c>
      <c r="H68" s="5">
        <f>IF(OR(A68="",F68=0),"",(C68-F68)/F68)</f>
        <v/>
      </c>
      <c r="I68" s="2" t="inlineStr">
        <is>
          <t>2026-08-19 17:54:59</t>
        </is>
      </c>
    </row>
    <row r="69" ht="26.4" customHeight="1" s="12" thickBot="1">
      <c r="A69" s="7" t="inlineStr">
        <is>
          <t>NEXT50IETF</t>
        </is>
      </c>
      <c r="B69" s="2" t="inlineStr">
        <is>
          <t>NSE_EQ|INF109KC1NS5</t>
        </is>
      </c>
      <c r="C69" s="3" t="n">
        <v>78.09999999999999</v>
      </c>
      <c r="D69" s="4" t="n">
        <v>10</v>
      </c>
      <c r="E69" s="4" t="n">
        <v>739148</v>
      </c>
      <c r="F69" s="3" t="n">
        <v>78.69</v>
      </c>
      <c r="G69" s="3">
        <f>IF(A69="","",C69-F69)</f>
        <v/>
      </c>
      <c r="H69" s="5">
        <f>IF(OR(A69="",F69=0),"",(C69-F69)/F69)</f>
        <v/>
      </c>
      <c r="I69" s="2" t="inlineStr">
        <is>
          <t>2026-08-19 17:54:59</t>
        </is>
      </c>
    </row>
    <row r="70" ht="26.4" customHeight="1" s="12" thickBot="1">
      <c r="A70" s="7" t="inlineStr">
        <is>
          <t>MOSMALL250</t>
        </is>
      </c>
      <c r="B70" s="2" t="inlineStr">
        <is>
          <t>NSE_EQ|INF247L01CH6</t>
        </is>
      </c>
      <c r="C70" s="3" t="n">
        <v>18.28</v>
      </c>
      <c r="D70" s="4" t="n">
        <v>100</v>
      </c>
      <c r="E70" s="4" t="n">
        <v>863296</v>
      </c>
      <c r="F70" s="3" t="n">
        <v>18.39</v>
      </c>
      <c r="G70" s="3">
        <f>IF(A70="","",C70-F70)</f>
        <v/>
      </c>
      <c r="H70" s="5">
        <f>IF(OR(A70="",F70=0),"",(C70-F70)/F70)</f>
        <v/>
      </c>
      <c r="I70" s="2" t="inlineStr">
        <is>
          <t>2026-08-19 17:54:59</t>
        </is>
      </c>
    </row>
    <row r="71" ht="26.4" customHeight="1" s="12" thickBot="1">
      <c r="A71" s="7" t="inlineStr">
        <is>
          <t>HDFCMID150</t>
        </is>
      </c>
      <c r="B71" s="2" t="inlineStr">
        <is>
          <t>NSE_EQ|INF179KC1HT0</t>
        </is>
      </c>
      <c r="C71" s="3" t="n">
        <v>23.7</v>
      </c>
      <c r="D71" s="4" t="n">
        <v>76</v>
      </c>
      <c r="E71" s="4" t="n">
        <v>282003</v>
      </c>
      <c r="F71" s="3" t="n">
        <v>23.65</v>
      </c>
      <c r="G71" s="3">
        <f>IF(A71="","",C71-F71)</f>
        <v/>
      </c>
      <c r="H71" s="5">
        <f>IF(OR(A71="",F71=0),"",(C71-F71)/F71)</f>
        <v/>
      </c>
      <c r="I71" s="2" t="inlineStr">
        <is>
          <t>2026-08-19 17:54:59</t>
        </is>
      </c>
    </row>
    <row r="72" ht="26.4" customHeight="1" s="12" thickBot="1">
      <c r="A72" s="7" t="inlineStr">
        <is>
          <t>CPSEETF</t>
        </is>
      </c>
      <c r="B72" s="2" t="inlineStr">
        <is>
          <t>NSE_EQ|INF457M01133</t>
        </is>
      </c>
      <c r="C72" s="3" t="n">
        <v>93.14</v>
      </c>
      <c r="D72" s="4" t="n">
        <v>1</v>
      </c>
      <c r="E72" s="4" t="n">
        <v>1093832</v>
      </c>
      <c r="F72" s="3" t="n">
        <v>93.98999999999999</v>
      </c>
      <c r="G72" s="3">
        <f>IF(A72="","",C72-F72)</f>
        <v/>
      </c>
      <c r="H72" s="5">
        <f>IF(OR(A72="",F72=0),"",(C72-F72)/F72)</f>
        <v/>
      </c>
      <c r="I72" s="2" t="inlineStr">
        <is>
          <t>2026-08-19 17:54:59</t>
        </is>
      </c>
    </row>
    <row r="73" ht="26.4" customHeight="1" s="12" thickBot="1">
      <c r="A73" s="7" t="inlineStr">
        <is>
          <t>FINIETF</t>
        </is>
      </c>
      <c r="B73" s="2" t="inlineStr">
        <is>
          <t>NSE_EQ|INF109KC17L8</t>
        </is>
      </c>
      <c r="C73" s="3" t="n">
        <v>33</v>
      </c>
      <c r="D73" s="4" t="n">
        <v>300</v>
      </c>
      <c r="E73" s="4" t="n">
        <v>145228</v>
      </c>
      <c r="F73" s="3" t="n">
        <v>33.13</v>
      </c>
      <c r="G73" s="3">
        <f>IF(A73="","",C73-F73)</f>
        <v/>
      </c>
      <c r="H73" s="5">
        <f>IF(OR(A73="",F73=0),"",(C73-F73)/F73)</f>
        <v/>
      </c>
      <c r="I73" s="2" t="inlineStr">
        <is>
          <t>2026-08-19 17:54:59</t>
        </is>
      </c>
    </row>
    <row r="74" ht="26.4" customHeight="1" s="12" thickBot="1">
      <c r="A74" s="7" t="inlineStr">
        <is>
          <t>ICICIB22</t>
        </is>
      </c>
      <c r="B74" s="2" t="inlineStr">
        <is>
          <t>NSE_EQ|INF109KB15Y7</t>
        </is>
      </c>
      <c r="C74" s="3" t="n">
        <v>114.39</v>
      </c>
      <c r="D74" s="4" t="n">
        <v>1</v>
      </c>
      <c r="E74" s="4" t="n">
        <v>572227</v>
      </c>
      <c r="F74" s="3" t="n">
        <v>115.49</v>
      </c>
      <c r="G74" s="3">
        <f>IF(A74="","",C74-F74)</f>
        <v/>
      </c>
      <c r="H74" s="5">
        <f>IF(OR(A74="",F74=0),"",(C74-F74)/F74)</f>
        <v/>
      </c>
      <c r="I74" s="2" t="inlineStr">
        <is>
          <t>2026-08-19 17:54:59</t>
        </is>
      </c>
    </row>
    <row r="75" ht="26.4" customHeight="1" s="12" thickBot="1">
      <c r="A75" s="7" t="inlineStr">
        <is>
          <t>MODEFENCE</t>
        </is>
      </c>
      <c r="B75" s="2" t="inlineStr">
        <is>
          <t>NSE_EQ|INF247L01DJ0</t>
        </is>
      </c>
      <c r="C75" s="3" t="n">
        <v>107.95</v>
      </c>
      <c r="D75" s="4" t="n">
        <v>20</v>
      </c>
      <c r="E75" s="4" t="n">
        <v>1437913</v>
      </c>
      <c r="F75" s="3" t="n">
        <v>109.7</v>
      </c>
      <c r="G75" s="3">
        <f>IF(A75="","",C75-F75)</f>
        <v/>
      </c>
      <c r="H75" s="5">
        <f>IF(OR(A75="",F75=0),"",(C75-F75)/F75)</f>
        <v/>
      </c>
      <c r="I75" s="2" t="inlineStr">
        <is>
          <t>2026-08-19 17:54:59</t>
        </is>
      </c>
    </row>
    <row r="76" ht="26.4" customHeight="1" s="12" thickBot="1">
      <c r="A76" s="7" t="inlineStr">
        <is>
          <t>SMALLCAP</t>
        </is>
      </c>
      <c r="B76" s="2" t="inlineStr">
        <is>
          <t>NSE_EQ|INF769K01LC3</t>
        </is>
      </c>
      <c r="C76" s="3" t="n">
        <v>48.54</v>
      </c>
      <c r="D76" s="4" t="n">
        <v>25</v>
      </c>
      <c r="E76" s="4" t="n">
        <v>904311</v>
      </c>
      <c r="F76" s="3" t="n">
        <v>48.77</v>
      </c>
      <c r="G76" s="3">
        <f>IF(A76="","",C76-F76)</f>
        <v/>
      </c>
      <c r="H76" s="5">
        <f>IF(OR(A76="",F76=0),"",(C76-F76)/F76)</f>
        <v/>
      </c>
      <c r="I76" s="2" t="inlineStr">
        <is>
          <t>2026-08-19 17:54:59</t>
        </is>
      </c>
    </row>
    <row r="77" ht="26.4" customHeight="1" s="12" thickBot="1">
      <c r="A77" s="7" t="inlineStr">
        <is>
          <t>MIDSELIETF</t>
        </is>
      </c>
      <c r="B77" s="2" t="inlineStr">
        <is>
          <t>NSE_EQ|INF109KC10W0</t>
        </is>
      </c>
      <c r="C77" s="3" t="n">
        <v>19.9</v>
      </c>
      <c r="D77" s="4" t="n">
        <v>1</v>
      </c>
      <c r="E77" s="4" t="n">
        <v>368753</v>
      </c>
      <c r="F77" s="3" t="n">
        <v>19.88</v>
      </c>
      <c r="G77" s="3">
        <f>IF(A77="","",C77-F77)</f>
        <v/>
      </c>
      <c r="H77" s="5">
        <f>IF(OR(A77="",F77=0),"",(C77-F77)/F77)</f>
        <v/>
      </c>
      <c r="I77" s="2" t="inlineStr">
        <is>
          <t>2026-08-19 17:54:59</t>
        </is>
      </c>
    </row>
    <row r="78" ht="26.4" customHeight="1" s="12" thickBot="1">
      <c r="A78" s="7" t="inlineStr">
        <is>
          <t>MID150BEES</t>
        </is>
      </c>
      <c r="B78" s="2" t="inlineStr">
        <is>
          <t>NSE_EQ|INF204KB1V68</t>
        </is>
      </c>
      <c r="C78" s="3" t="n">
        <v>241.8</v>
      </c>
      <c r="D78" s="4" t="n">
        <v>186</v>
      </c>
      <c r="E78" s="4" t="n">
        <v>5112200</v>
      </c>
      <c r="F78" s="3" t="n">
        <v>242.35</v>
      </c>
      <c r="G78" s="3">
        <f>IF(A78="","",C78-F78)</f>
        <v/>
      </c>
      <c r="H78" s="5">
        <f>IF(OR(A78="",F78=0),"",(C78-F78)/F78)</f>
        <v/>
      </c>
      <c r="I78" s="2" t="inlineStr">
        <is>
          <t>2026-08-19 17:54:59</t>
        </is>
      </c>
    </row>
    <row r="79" ht="26.4" customHeight="1" s="12" thickBot="1">
      <c r="A79" s="7" t="inlineStr">
        <is>
          <t>MID150CASE</t>
        </is>
      </c>
      <c r="B79" s="2" t="inlineStr">
        <is>
          <t>NSE_EQ|INF0R8F01059</t>
        </is>
      </c>
      <c r="C79" s="3" t="n">
        <v>11.7</v>
      </c>
      <c r="D79" s="4" t="n">
        <v>150</v>
      </c>
      <c r="E79" s="4" t="n">
        <v>896816</v>
      </c>
      <c r="F79" s="3" t="n">
        <v>11.78</v>
      </c>
      <c r="G79" s="3">
        <f>IF(A79="","",C79-F79)</f>
        <v/>
      </c>
      <c r="H79" s="5">
        <f>IF(OR(A79="",F79=0),"",(C79-F79)/F79)</f>
        <v/>
      </c>
      <c r="I79" s="2" t="inlineStr">
        <is>
          <t>2026-08-19 17:54:59</t>
        </is>
      </c>
    </row>
    <row r="80" ht="26.4" customHeight="1" s="12" thickBot="1">
      <c r="A80" s="7" t="inlineStr">
        <is>
          <t>MIDCAPETF</t>
        </is>
      </c>
      <c r="B80" s="2" t="inlineStr">
        <is>
          <t>NSE_EQ|INF769K01IC9</t>
        </is>
      </c>
      <c r="C80" s="3" t="n">
        <v>23.87</v>
      </c>
      <c r="D80" s="4" t="n">
        <v>1</v>
      </c>
      <c r="E80" s="4" t="n">
        <v>2522855</v>
      </c>
      <c r="F80" s="3" t="n">
        <v>23.93</v>
      </c>
      <c r="G80" s="3">
        <f>IF(A80="","",C80-F80)</f>
        <v/>
      </c>
      <c r="H80" s="5">
        <f>IF(OR(A80="",F80=0),"",(C80-F80)/F80)</f>
        <v/>
      </c>
      <c r="I80" s="2" t="inlineStr">
        <is>
          <t>2026-08-19 17:54:59</t>
        </is>
      </c>
    </row>
    <row r="81" ht="26.4" customHeight="1" s="12" thickBot="1">
      <c r="A81" s="7" t="inlineStr">
        <is>
          <t>INFRABEES</t>
        </is>
      </c>
      <c r="B81" s="2" t="inlineStr">
        <is>
          <t>NSE_EQ|INF732E01268</t>
        </is>
      </c>
      <c r="C81" s="3" t="n">
        <v>966.41</v>
      </c>
      <c r="D81" s="4" t="n">
        <v>59</v>
      </c>
      <c r="E81" s="4" t="n">
        <v>10407</v>
      </c>
      <c r="F81" s="3" t="n">
        <v>973.6799999999999</v>
      </c>
      <c r="G81" s="3">
        <f>IF(A81="","",C81-F81)</f>
        <v/>
      </c>
      <c r="H81" s="5">
        <f>IF(OR(A81="",F81=0),"",(C81-F81)/F81)</f>
        <v/>
      </c>
      <c r="I81" s="2" t="inlineStr">
        <is>
          <t>2026-08-19 17:54:59</t>
        </is>
      </c>
    </row>
    <row r="82" ht="26.4" customHeight="1" s="12" thickBot="1">
      <c r="A82" s="7" t="inlineStr">
        <is>
          <t>HDFCNEXT50</t>
        </is>
      </c>
      <c r="B82" s="2" t="inlineStr">
        <is>
          <t>NSE_EQ|INF179KC1HS2</t>
        </is>
      </c>
      <c r="C82" s="3" t="n">
        <v>75.43000000000001</v>
      </c>
      <c r="D82" s="4" t="n">
        <v>196</v>
      </c>
      <c r="E82" s="4" t="n">
        <v>131385</v>
      </c>
      <c r="F82" s="3" t="n">
        <v>75.83</v>
      </c>
      <c r="G82" s="3">
        <f>IF(A82="","",C82-F82)</f>
        <v/>
      </c>
      <c r="H82" s="5">
        <f>IF(OR(A82="",F82=0),"",(C82-F82)/F82)</f>
        <v/>
      </c>
      <c r="I82" s="2" t="inlineStr">
        <is>
          <t>2026-08-19 17:54:59</t>
        </is>
      </c>
    </row>
    <row r="83" ht="26.4" customHeight="1" s="12" thickBot="1">
      <c r="A83" s="7" t="inlineStr">
        <is>
          <t>MIDCAPIETF</t>
        </is>
      </c>
      <c r="B83" s="2" t="inlineStr">
        <is>
          <t>NSE_EQ|INF109KC11W8</t>
        </is>
      </c>
      <c r="C83" s="3" t="n">
        <v>24.17</v>
      </c>
      <c r="D83" s="4" t="n">
        <v>4</v>
      </c>
      <c r="E83" s="4" t="n">
        <v>977275</v>
      </c>
      <c r="F83" s="3" t="n">
        <v>24.26</v>
      </c>
      <c r="G83" s="3">
        <f>IF(A83="","",C83-F83)</f>
        <v/>
      </c>
      <c r="H83" s="5">
        <f>IF(OR(A83="",F83=0),"",(C83-F83)/F83)</f>
        <v/>
      </c>
      <c r="I83" s="2" t="inlineStr">
        <is>
          <t>2026-08-19 17:54:59</t>
        </is>
      </c>
    </row>
    <row r="84" ht="26.4" customHeight="1" s="12" thickBot="1">
      <c r="A84" s="7" t="inlineStr">
        <is>
          <t>UTINEXT50</t>
        </is>
      </c>
      <c r="B84" s="2" t="inlineStr">
        <is>
          <t>NOT FOUND</t>
        </is>
      </c>
      <c r="C84" s="3" t="n"/>
      <c r="D84" s="4" t="n"/>
      <c r="E84" s="4" t="n"/>
      <c r="F84" s="3" t="n"/>
      <c r="G84" s="3">
        <f>IF(A84="","",C84-F84)</f>
        <v/>
      </c>
      <c r="H84" s="5">
        <f>IF(OR(A84="",F84=0),"",(C84-F84)/F84)</f>
        <v/>
      </c>
      <c r="I84" s="2" t="n"/>
    </row>
    <row r="85" ht="26.4" customHeight="1" s="12" thickBot="1">
      <c r="A85" s="7" t="inlineStr">
        <is>
          <t>SETFNN50</t>
        </is>
      </c>
      <c r="B85" s="2" t="inlineStr">
        <is>
          <t>NSE_EQ|INF200KA1598</t>
        </is>
      </c>
      <c r="C85" s="3" t="n">
        <v>792</v>
      </c>
      <c r="D85" s="4" t="n">
        <v>44</v>
      </c>
      <c r="E85" s="4" t="n">
        <v>19357</v>
      </c>
      <c r="F85" s="3" t="n">
        <v>798.66</v>
      </c>
      <c r="G85" s="3">
        <f>IF(A85="","",C85-F85)</f>
        <v/>
      </c>
      <c r="H85" s="5">
        <f>IF(OR(A85="",F85=0),"",(C85-F85)/F85)</f>
        <v/>
      </c>
      <c r="I85" s="2" t="inlineStr">
        <is>
          <t>2026-08-19 17:54:59</t>
        </is>
      </c>
    </row>
    <row r="86" ht="26.4" customHeight="1" s="12" thickBot="1">
      <c r="A86" s="7" t="inlineStr">
        <is>
          <t>ABSLNN50ET</t>
        </is>
      </c>
      <c r="B86" s="2" t="inlineStr">
        <is>
          <t>NSE_EQ|INF209KB16D7</t>
        </is>
      </c>
      <c r="C86" s="3" t="n">
        <v>78.3</v>
      </c>
      <c r="D86" s="4" t="n">
        <v>10</v>
      </c>
      <c r="E86" s="4" t="n">
        <v>12986</v>
      </c>
      <c r="F86" s="3" t="n">
        <v>78.31999999999999</v>
      </c>
      <c r="G86" s="3">
        <f>IF(A86="","",C86-F86)</f>
        <v/>
      </c>
      <c r="H86" s="5">
        <f>IF(OR(A86="",F86=0),"",(C86-F86)/F86)</f>
        <v/>
      </c>
      <c r="I86" s="2" t="inlineStr">
        <is>
          <t>2026-08-19 17:54:59</t>
        </is>
      </c>
    </row>
    <row r="87" ht="26.4" customHeight="1" s="12" thickBot="1">
      <c r="A87" s="7" t="inlineStr">
        <is>
          <t>SBINEQWETF</t>
        </is>
      </c>
      <c r="B87" s="2" t="inlineStr">
        <is>
          <t>NSE_EQ|INF200KB1282</t>
        </is>
      </c>
      <c r="C87" s="3" t="n">
        <v>33.47</v>
      </c>
      <c r="D87" s="4" t="n">
        <v>500</v>
      </c>
      <c r="E87" s="4" t="n">
        <v>24602</v>
      </c>
      <c r="F87" s="3" t="n">
        <v>33.69</v>
      </c>
      <c r="G87" s="3">
        <f>IF(A87="","",C87-F87)</f>
        <v/>
      </c>
      <c r="H87" s="5">
        <f>IF(OR(A87="",F87=0),"",(C87-F87)/F87)</f>
        <v/>
      </c>
      <c r="I87" s="2" t="inlineStr">
        <is>
          <t>2026-08-19 17:54:59</t>
        </is>
      </c>
    </row>
    <row r="88" ht="26.4" customHeight="1" s="12" thickBot="1">
      <c r="A88" s="7" t="inlineStr">
        <is>
          <t>OILIETF</t>
        </is>
      </c>
      <c r="B88" s="2" t="inlineStr">
        <is>
          <t>NSE_EQ|INF109KC18W3</t>
        </is>
      </c>
      <c r="C88" s="3" t="n">
        <v>11.36</v>
      </c>
      <c r="D88" s="4" t="n">
        <v>500</v>
      </c>
      <c r="E88" s="4" t="n">
        <v>688050</v>
      </c>
      <c r="F88" s="3" t="n">
        <v>11.39</v>
      </c>
      <c r="G88" s="3">
        <f>IF(A88="","",C88-F88)</f>
        <v/>
      </c>
      <c r="H88" s="5">
        <f>IF(OR(A88="",F88=0),"",(C88-F88)/F88)</f>
        <v/>
      </c>
      <c r="I88" s="2" t="inlineStr">
        <is>
          <t>2026-08-19 17:54:59</t>
        </is>
      </c>
    </row>
    <row r="89" ht="26.4" customHeight="1" s="12" thickBot="1">
      <c r="A89" s="7" t="inlineStr">
        <is>
          <t>NIFTYQLITY</t>
        </is>
      </c>
      <c r="B89" s="2" t="inlineStr">
        <is>
          <t>NSE_EQ|INF209KB15K4</t>
        </is>
      </c>
      <c r="C89" s="3" t="n">
        <v>21.57</v>
      </c>
      <c r="D89" s="4" t="n">
        <v>29</v>
      </c>
      <c r="E89" s="4" t="n">
        <v>173979</v>
      </c>
      <c r="F89" s="3" t="n">
        <v>21.68</v>
      </c>
      <c r="G89" s="3">
        <f>IF(A89="","",C89-F89)</f>
        <v/>
      </c>
      <c r="H89" s="5">
        <f>IF(OR(A89="",F89=0),"",(C89-F89)/F89)</f>
        <v/>
      </c>
      <c r="I89" s="2" t="inlineStr">
        <is>
          <t>2026-08-19 17:54:59</t>
        </is>
      </c>
    </row>
    <row r="90" ht="26.4" customHeight="1" s="12" thickBot="1">
      <c r="A90" s="7" t="inlineStr">
        <is>
          <t>NV20IETF</t>
        </is>
      </c>
      <c r="B90" s="2" t="inlineStr">
        <is>
          <t>NSE_EQ|INF109KC11V0</t>
        </is>
      </c>
      <c r="C90" s="3" t="n">
        <v>13.55</v>
      </c>
      <c r="D90" s="4" t="n">
        <v>1688</v>
      </c>
      <c r="E90" s="4" t="n">
        <v>517758</v>
      </c>
      <c r="F90" s="3" t="n">
        <v>13.65</v>
      </c>
      <c r="G90" s="3">
        <f>IF(A90="","",C90-F90)</f>
        <v/>
      </c>
      <c r="H90" s="5">
        <f>IF(OR(A90="",F90=0),"",(C90-F90)/F90)</f>
        <v/>
      </c>
      <c r="I90" s="2" t="inlineStr">
        <is>
          <t>2026-08-19 17:54:59</t>
        </is>
      </c>
    </row>
    <row r="91" ht="26.4" customHeight="1" s="12" thickBot="1">
      <c r="A91" s="7" t="inlineStr">
        <is>
          <t>NV20</t>
        </is>
      </c>
      <c r="B91" s="2" t="inlineStr">
        <is>
          <t>NSE_EQ|INF174KA1ZE1</t>
        </is>
      </c>
      <c r="C91" s="3" t="n">
        <v>13.9</v>
      </c>
      <c r="D91" s="4" t="n">
        <v>362</v>
      </c>
      <c r="E91" s="4" t="n">
        <v>84750</v>
      </c>
      <c r="F91" s="3" t="n">
        <v>14.01</v>
      </c>
      <c r="G91" s="3">
        <f>IF(A91="","",C91-F91)</f>
        <v/>
      </c>
      <c r="H91" s="5">
        <f>IF(OR(A91="",F91=0),"",(C91-F91)/F91)</f>
        <v/>
      </c>
      <c r="I91" s="2" t="inlineStr">
        <is>
          <t>2026-08-19 17:54:59</t>
        </is>
      </c>
    </row>
    <row r="92" ht="26.4" customHeight="1" s="12" thickBot="1">
      <c r="A92" s="7" t="inlineStr">
        <is>
          <t>NV20</t>
        </is>
      </c>
      <c r="B92" s="2" t="inlineStr">
        <is>
          <t>NSE_EQ|INF174KA1ZE1</t>
        </is>
      </c>
      <c r="C92" s="3" t="n">
        <v>13.9</v>
      </c>
      <c r="D92" s="4" t="n">
        <v>362</v>
      </c>
      <c r="E92" s="4" t="n">
        <v>84750</v>
      </c>
      <c r="F92" s="3" t="n">
        <v>14.01</v>
      </c>
      <c r="G92" s="3">
        <f>IF(A92="","",C92-F92)</f>
        <v/>
      </c>
      <c r="H92" s="5">
        <f>IF(OR(A92="",F92=0),"",(C92-F92)/F92)</f>
        <v/>
      </c>
      <c r="I92" s="2" t="inlineStr">
        <is>
          <t>2026-08-19 17:54:59</t>
        </is>
      </c>
    </row>
    <row r="93" ht="26.4" customHeight="1" s="12" thickBot="1">
      <c r="A93" s="7" t="inlineStr">
        <is>
          <t>MAKEINDIA</t>
        </is>
      </c>
      <c r="B93" s="2" t="inlineStr">
        <is>
          <t>NSE_EQ|INF769K01IB1</t>
        </is>
      </c>
      <c r="C93" s="3" t="n">
        <v>167.97</v>
      </c>
      <c r="D93" s="4" t="n">
        <v>2</v>
      </c>
      <c r="E93" s="4" t="n">
        <v>40807</v>
      </c>
      <c r="F93" s="3" t="n">
        <v>168.94</v>
      </c>
      <c r="G93" s="3">
        <f>IF(A93="","",C93-F93)</f>
        <v/>
      </c>
      <c r="H93" s="5">
        <f>IF(OR(A93="",F93=0),"",(C93-F93)/F93)</f>
        <v/>
      </c>
      <c r="I93" s="2" t="inlineStr">
        <is>
          <t>2026-08-19 17:54:59</t>
        </is>
      </c>
    </row>
    <row r="94" ht="26.4" customHeight="1" s="12" thickBot="1">
      <c r="A94" s="7" t="inlineStr">
        <is>
          <t>ABSLPSE</t>
        </is>
      </c>
      <c r="B94" s="2" t="inlineStr">
        <is>
          <t>NSE_EQ|INF209KB19Z4</t>
        </is>
      </c>
      <c r="C94" s="3" t="n">
        <v>10.22</v>
      </c>
      <c r="D94" s="4" t="n">
        <v>1</v>
      </c>
      <c r="E94" s="4" t="n">
        <v>162788</v>
      </c>
      <c r="F94" s="3" t="n">
        <v>10.21</v>
      </c>
      <c r="G94" s="3">
        <f>IF(A94="","",C94-F94)</f>
        <v/>
      </c>
      <c r="H94" s="5">
        <f>IF(OR(A94="",F94=0),"",(C94-F94)/F94)</f>
        <v/>
      </c>
      <c r="I94" s="2" t="inlineStr">
        <is>
          <t>2026-08-19 17:54:59</t>
        </is>
      </c>
    </row>
    <row r="95" ht="26.4" customHeight="1" s="12" thickBot="1">
      <c r="A95" s="7" t="inlineStr">
        <is>
          <t>QUAL30IETF</t>
        </is>
      </c>
      <c r="B95" t="inlineStr">
        <is>
          <t>NSE_EQ|INF109KC18V5</t>
        </is>
      </c>
      <c r="C95" t="n">
        <v>21.24</v>
      </c>
      <c r="D95" t="n">
        <v>33</v>
      </c>
      <c r="E95" t="n">
        <v>146975</v>
      </c>
      <c r="F95" t="n">
        <v>21.38</v>
      </c>
      <c r="I95" t="inlineStr">
        <is>
          <t>2026-08-19 17:54:59</t>
        </is>
      </c>
    </row>
    <row r="96" ht="26.4" customHeight="1" s="12" thickBot="1">
      <c r="A96" s="7" t="inlineStr">
        <is>
          <t>GROWWEV</t>
        </is>
      </c>
      <c r="B96" t="inlineStr">
        <is>
          <t>NSE_EQ|INF666M01IH2</t>
        </is>
      </c>
      <c r="C96" t="n">
        <v>33.63</v>
      </c>
      <c r="D96" t="n">
        <v>46</v>
      </c>
      <c r="E96" t="n">
        <v>250710</v>
      </c>
      <c r="F96" t="n">
        <v>33.93</v>
      </c>
      <c r="I96" t="inlineStr">
        <is>
          <t>2026-08-19 17:54:59</t>
        </is>
      </c>
    </row>
    <row r="97" ht="26.4" customHeight="1" s="12" thickBot="1">
      <c r="A97" s="7" t="inlineStr">
        <is>
          <t>EVINDIA</t>
        </is>
      </c>
      <c r="B97" t="inlineStr">
        <is>
          <t>NSE_EQ|INF769K01LQ3</t>
        </is>
      </c>
      <c r="C97" t="n">
        <v>33.91</v>
      </c>
      <c r="D97" t="n">
        <v>5</v>
      </c>
      <c r="E97" t="n">
        <v>292688</v>
      </c>
      <c r="F97" t="n">
        <v>34.18</v>
      </c>
      <c r="I97" t="inlineStr">
        <is>
          <t>2026-08-19 17:54:59</t>
        </is>
      </c>
    </row>
    <row r="98" ht="26.4" customHeight="1" s="12" thickBot="1">
      <c r="A98" s="7" t="inlineStr">
        <is>
          <t>COMMOIETF</t>
        </is>
      </c>
      <c r="B98" t="inlineStr">
        <is>
          <t>NSE_EQ|INF109KC19O8</t>
        </is>
      </c>
      <c r="C98" t="n">
        <v>99.25</v>
      </c>
      <c r="D98" t="n">
        <v>68</v>
      </c>
      <c r="E98" t="n">
        <v>25771</v>
      </c>
      <c r="F98" t="n">
        <v>99.83</v>
      </c>
      <c r="I98" t="inlineStr">
        <is>
          <t>2026-08-19 17:54:59</t>
        </is>
      </c>
    </row>
    <row r="99" ht="26.4" customHeight="1" s="12" thickBot="1">
      <c r="A99" s="7" t="inlineStr">
        <is>
          <t>TNIDETF</t>
        </is>
      </c>
      <c r="B99" t="inlineStr">
        <is>
          <t>NSE_EQ|INF277KA1364</t>
        </is>
      </c>
      <c r="C99" t="n">
        <v>89.56</v>
      </c>
      <c r="D99" t="n">
        <v>39</v>
      </c>
      <c r="E99" t="n">
        <v>49553</v>
      </c>
      <c r="F99" t="n">
        <v>89.72</v>
      </c>
      <c r="I99" t="inlineStr">
        <is>
          <t>2026-08-19 17:54:59</t>
        </is>
      </c>
    </row>
    <row r="100" ht="26.4" customHeight="1" s="12" thickBot="1">
      <c r="A100" s="7" t="inlineStr">
        <is>
          <t>MOVALUE</t>
        </is>
      </c>
      <c r="B100" t="inlineStr">
        <is>
          <t>NSE_EQ|INF247L01BE5</t>
        </is>
      </c>
      <c r="C100" t="n">
        <v>112.97</v>
      </c>
      <c r="D100" t="n">
        <v>86</v>
      </c>
      <c r="E100" t="n">
        <v>87863</v>
      </c>
      <c r="F100" t="n">
        <v>113.68</v>
      </c>
      <c r="I100" t="inlineStr">
        <is>
          <t>2026-08-19 17:54:59</t>
        </is>
      </c>
    </row>
    <row r="101" ht="26.4" customHeight="1" s="12" thickBot="1">
      <c r="A101" s="7" t="inlineStr">
        <is>
          <t>DIVOPPBEES</t>
        </is>
      </c>
      <c r="B101" t="inlineStr">
        <is>
          <t>NSE_EQ|INF204KA1MS3</t>
        </is>
      </c>
      <c r="C101" t="n">
        <v>77.55</v>
      </c>
      <c r="D101" t="n">
        <v>328</v>
      </c>
      <c r="E101" t="n">
        <v>121615</v>
      </c>
      <c r="F101" t="n">
        <v>77.77</v>
      </c>
      <c r="I101" t="inlineStr">
        <is>
          <t>2026-08-19 17:54:59</t>
        </is>
      </c>
    </row>
    <row r="102" ht="26.4" customHeight="1" s="12" thickBot="1">
      <c r="A102" s="7" t="inlineStr">
        <is>
          <t>ITIETF</t>
        </is>
      </c>
      <c r="B102" t="inlineStr">
        <is>
          <t>NSE_EQ|INF109KC16I6</t>
        </is>
      </c>
      <c r="C102" t="n">
        <v>33.65</v>
      </c>
      <c r="D102" t="n">
        <v>356</v>
      </c>
      <c r="E102" t="n">
        <v>348747</v>
      </c>
      <c r="F102" t="n">
        <v>33.66</v>
      </c>
      <c r="I102" t="inlineStr">
        <is>
          <t>2026-08-19 17:54:59</t>
        </is>
      </c>
    </row>
    <row r="103" ht="26.4" customHeight="1" s="12" thickBot="1">
      <c r="A103" s="7" t="inlineStr">
        <is>
          <t>HDFCNIFIT</t>
        </is>
      </c>
      <c r="B103" t="inlineStr">
        <is>
          <t>NSE_EQ|INF179KC1IA8</t>
        </is>
      </c>
      <c r="C103" t="n">
        <v>32.33</v>
      </c>
      <c r="D103" t="n">
        <v>948</v>
      </c>
      <c r="E103" t="n">
        <v>59959</v>
      </c>
      <c r="F103" t="n">
        <v>32.34</v>
      </c>
      <c r="I103" t="inlineStr">
        <is>
          <t>2026-08-19 17:54:59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4" topLeftCell="A5" activePane="bottomLeft" state="frozen"/>
      <selection pane="bottomLeft" activeCell="F24" sqref="F24"/>
    </sheetView>
  </sheetViews>
  <sheetFormatPr baseColWidth="8" defaultRowHeight="14.4"/>
  <cols>
    <col width="14" bestFit="1" customWidth="1" style="12" min="1" max="1"/>
    <col width="12" bestFit="1" customWidth="1" style="12" min="2" max="4"/>
    <col width="20" customWidth="1" style="12" min="5" max="5"/>
    <col width="4" bestFit="1" customWidth="1" style="12" min="6" max="6"/>
    <col width="12" bestFit="1" customWidth="1" style="12" min="7" max="7"/>
    <col width="14" customWidth="1" style="12" min="8" max="8"/>
  </cols>
  <sheetData>
    <row r="1" ht="17.4" customHeight="1" s="12">
      <c r="A1" s="13" t="inlineStr">
        <is>
          <t>Watchlist Analysis</t>
        </is>
      </c>
    </row>
    <row r="2">
      <c r="A2" s="11" t="inlineStr">
        <is>
          <t>Symbol and CMP columns are linked to the Watchlist sheet. Columns C-H are placeholders pending formulas.</t>
        </is>
      </c>
    </row>
    <row r="4">
      <c r="A4" s="8" t="inlineStr">
        <is>
          <t>Symbol</t>
        </is>
      </c>
      <c r="B4" s="8" t="inlineStr">
        <is>
          <t>CMP</t>
        </is>
      </c>
      <c r="C4" s="8" t="inlineStr">
        <is>
          <t>20 MA</t>
        </is>
      </c>
      <c r="D4" s="8" t="inlineStr">
        <is>
          <t>CMP-20MA</t>
        </is>
      </c>
      <c r="E4" s="8" t="inlineStr">
        <is>
          <t>% Change 20 MA Vs CMP</t>
        </is>
      </c>
      <c r="F4" s="8" t="n"/>
      <c r="G4" s="8" t="inlineStr">
        <is>
          <t>PDP</t>
        </is>
      </c>
      <c r="H4" s="8" t="inlineStr">
        <is>
          <t>Change in %</t>
        </is>
      </c>
    </row>
    <row r="5">
      <c r="A5" s="2">
        <f>Watchlist!A5</f>
        <v/>
      </c>
      <c r="B5" s="3">
        <f>Watchlist!C5</f>
        <v/>
      </c>
      <c r="C5" s="3" t="n">
        <v>23.4815</v>
      </c>
      <c r="D5" s="3">
        <f>IF(OR(B5="",C5="",C5=0),"",B5-C5)</f>
        <v/>
      </c>
      <c r="E5" s="5">
        <f>IF(OR(B5="",C5="",C5=0),"",(B5-C5)/C5)</f>
        <v/>
      </c>
      <c r="F5" s="2" t="n"/>
      <c r="G5" s="3">
        <f>Watchlist!F5</f>
        <v/>
      </c>
      <c r="H5" s="5">
        <f>IF(OR(B5="",G5="",G5=0),"",(B5-G5)/G5)</f>
        <v/>
      </c>
    </row>
    <row r="6">
      <c r="A6" s="2">
        <f>Watchlist!A6</f>
        <v/>
      </c>
      <c r="B6" s="3">
        <f>Watchlist!C6</f>
        <v/>
      </c>
      <c r="C6" s="3" t="n">
        <v>487.1285</v>
      </c>
      <c r="D6" s="3">
        <f>IF(OR(B6="",C6="",C6=0),"",B6-C6)</f>
        <v/>
      </c>
      <c r="E6" s="5">
        <f>IF(OR(B6="",C6="",C6=0),"",(B6-C6)/C6)</f>
        <v/>
      </c>
      <c r="F6" s="2" t="n"/>
      <c r="G6" s="3">
        <f>Watchlist!F6</f>
        <v/>
      </c>
      <c r="H6" s="5">
        <f>IF(OR(B6="",G6="",G6=0),"",(B6-G6)/G6)</f>
        <v/>
      </c>
    </row>
    <row r="7">
      <c r="A7" s="2">
        <f>Watchlist!A7</f>
        <v/>
      </c>
      <c r="B7" s="3">
        <f>Watchlist!C7</f>
        <v/>
      </c>
      <c r="C7" s="3" t="n">
        <v>264.8575</v>
      </c>
      <c r="D7" s="3">
        <f>IF(OR(B7="",C7="",C7=0),"",B7-C7)</f>
        <v/>
      </c>
      <c r="E7" s="5">
        <f>IF(OR(B7="",C7="",C7=0),"",(B7-C7)/C7)</f>
        <v/>
      </c>
      <c r="F7" s="2" t="n"/>
      <c r="G7" s="3">
        <f>Watchlist!F7</f>
        <v/>
      </c>
      <c r="H7" s="5">
        <f>IF(OR(B7="",G7="",G7=0),"",(B7-G7)/G7)</f>
        <v/>
      </c>
    </row>
    <row r="8">
      <c r="A8" s="2">
        <f>Watchlist!A8</f>
        <v/>
      </c>
      <c r="B8" s="3">
        <f>Watchlist!C8</f>
        <v/>
      </c>
      <c r="C8" s="3" t="n">
        <v>265.7105</v>
      </c>
      <c r="D8" s="3">
        <f>IF(OR(B8="",C8="",C8=0),"",B8-C8)</f>
        <v/>
      </c>
      <c r="E8" s="5">
        <f>IF(OR(B8="",C8="",C8=0),"",(B8-C8)/C8)</f>
        <v/>
      </c>
      <c r="F8" s="2" t="n"/>
      <c r="G8" s="3">
        <f>Watchlist!F8</f>
        <v/>
      </c>
      <c r="H8" s="5">
        <f>IF(OR(B8="",G8="",G8=0),"",(B8-G8)/G8)</f>
        <v/>
      </c>
    </row>
    <row r="9">
      <c r="A9" s="2">
        <f>Watchlist!A9</f>
        <v/>
      </c>
      <c r="B9" s="3">
        <f>Watchlist!C9</f>
        <v/>
      </c>
      <c r="C9" s="3" t="n">
        <v>29.9925</v>
      </c>
      <c r="D9" s="3">
        <f>IF(OR(B9="",C9="",C9=0),"",B9-C9)</f>
        <v/>
      </c>
      <c r="E9" s="5">
        <f>IF(OR(B9="",C9="",C9=0),"",(B9-C9)/C9)</f>
        <v/>
      </c>
      <c r="F9" s="2" t="n"/>
      <c r="G9" s="3">
        <f>Watchlist!F9</f>
        <v/>
      </c>
      <c r="H9" s="5">
        <f>IF(OR(B9="",G9="",G9=0),"",(B9-G9)/G9)</f>
        <v/>
      </c>
    </row>
    <row r="10">
      <c r="A10" s="2">
        <f>Watchlist!A10</f>
        <v/>
      </c>
      <c r="B10" s="3">
        <f>Watchlist!C10</f>
        <v/>
      </c>
      <c r="C10" s="3" t="n">
        <v>29.5085</v>
      </c>
      <c r="D10" s="3">
        <f>IF(OR(B10="",C10="",C10=0),"",B10-C10)</f>
        <v/>
      </c>
      <c r="E10" s="5">
        <f>IF(OR(B10="",C10="",C10=0),"",(B10-C10)/C10)</f>
        <v/>
      </c>
      <c r="F10" s="2" t="n"/>
      <c r="G10" s="3">
        <f>Watchlist!F10</f>
        <v/>
      </c>
      <c r="H10" s="5">
        <f>IF(OR(B10="",G10="",G10=0),"",(B10-G10)/G10)</f>
        <v/>
      </c>
    </row>
    <row r="11">
      <c r="A11" s="2">
        <f>Watchlist!A11</f>
        <v/>
      </c>
      <c r="B11" s="3">
        <f>Watchlist!C11</f>
        <v/>
      </c>
      <c r="C11" s="3" t="n">
        <v>66.20599999999999</v>
      </c>
      <c r="D11" s="3">
        <f>IF(OR(B11="",C11="",C11=0),"",B11-C11)</f>
        <v/>
      </c>
      <c r="E11" s="5">
        <f>IF(OR(B11="",C11="",C11=0),"",(B11-C11)/C11)</f>
        <v/>
      </c>
      <c r="F11" s="2" t="n"/>
      <c r="G11" s="3">
        <f>Watchlist!F11</f>
        <v/>
      </c>
      <c r="H11" s="5">
        <f>IF(OR(B11="",G11="",G11=0),"",(B11-G11)/G11)</f>
        <v/>
      </c>
    </row>
    <row r="12">
      <c r="A12" s="2">
        <f>Watchlist!A12</f>
        <v/>
      </c>
      <c r="B12" s="3">
        <f>Watchlist!C12</f>
        <v/>
      </c>
      <c r="C12" s="3" t="n">
        <v>27.754</v>
      </c>
      <c r="D12" s="3">
        <f>IF(OR(B12="",C12="",C12=0),"",B12-C12)</f>
        <v/>
      </c>
      <c r="E12" s="5">
        <f>IF(OR(B12="",C12="",C12=0),"",(B12-C12)/C12)</f>
        <v/>
      </c>
      <c r="F12" s="2" t="n"/>
      <c r="G12" s="3">
        <f>Watchlist!F12</f>
        <v/>
      </c>
      <c r="H12" s="5">
        <f>IF(OR(B12="",G12="",G12=0),"",(B12-G12)/G12)</f>
        <v/>
      </c>
    </row>
    <row r="13">
      <c r="A13" s="2">
        <f>Watchlist!A13</f>
        <v/>
      </c>
      <c r="B13" s="3">
        <f>Watchlist!C13</f>
        <v/>
      </c>
      <c r="C13" s="3" t="n">
        <v>27.8855</v>
      </c>
      <c r="D13" s="3">
        <f>IF(OR(B13="",C13="",C13=0),"",B13-C13)</f>
        <v/>
      </c>
      <c r="E13" s="5">
        <f>IF(OR(B13="",C13="",C13=0),"",(B13-C13)/C13)</f>
        <v/>
      </c>
      <c r="F13" s="2" t="n"/>
      <c r="G13" s="3">
        <f>Watchlist!F13</f>
        <v/>
      </c>
      <c r="H13" s="5">
        <f>IF(OR(B13="",G13="",G13=0),"",(B13-G13)/G13)</f>
        <v/>
      </c>
    </row>
    <row r="14">
      <c r="A14" s="2">
        <f>Watchlist!A14</f>
        <v/>
      </c>
      <c r="B14" s="3">
        <f>Watchlist!C14</f>
        <v/>
      </c>
      <c r="C14" s="3" t="n">
        <v>134.0805</v>
      </c>
      <c r="D14" s="3">
        <f>IF(OR(B14="",C14="",C14=0),"",B14-C14)</f>
        <v/>
      </c>
      <c r="E14" s="5">
        <f>IF(OR(B14="",C14="",C14=0),"",(B14-C14)/C14)</f>
        <v/>
      </c>
      <c r="F14" s="2" t="n"/>
      <c r="G14" s="3">
        <f>Watchlist!F14</f>
        <v/>
      </c>
      <c r="H14" s="5">
        <f>IF(OR(B14="",G14="",G14=0),"",(B14-G14)/G14)</f>
        <v/>
      </c>
    </row>
    <row r="15">
      <c r="A15" s="2">
        <f>Watchlist!A15</f>
        <v/>
      </c>
      <c r="B15" s="3">
        <f>Watchlist!C15</f>
        <v/>
      </c>
      <c r="C15" s="3" t="n">
        <v>26.3075</v>
      </c>
      <c r="D15" s="3">
        <f>IF(OR(B15="",C15="",C15=0),"",B15-C15)</f>
        <v/>
      </c>
      <c r="E15" s="5">
        <f>IF(OR(B15="",C15="",C15=0),"",(B15-C15)/C15)</f>
        <v/>
      </c>
      <c r="F15" s="2" t="n"/>
      <c r="G15" s="3">
        <f>Watchlist!F15</f>
        <v/>
      </c>
      <c r="H15" s="5">
        <f>IF(OR(B15="",G15="",G15=0),"",(B15-G15)/G15)</f>
        <v/>
      </c>
    </row>
    <row r="16">
      <c r="A16" s="2">
        <f>Watchlist!A16</f>
        <v/>
      </c>
      <c r="B16" s="3">
        <f>Watchlist!C16</f>
        <v/>
      </c>
      <c r="C16" s="3" t="n">
        <v>30.9935</v>
      </c>
      <c r="D16" s="3">
        <f>IF(OR(B16="",C16="",C16=0),"",B16-C16)</f>
        <v/>
      </c>
      <c r="E16" s="5">
        <f>IF(OR(B16="",C16="",C16=0),"",(B16-C16)/C16)</f>
        <v/>
      </c>
      <c r="F16" s="2" t="n"/>
      <c r="G16" s="3">
        <f>Watchlist!F16</f>
        <v/>
      </c>
      <c r="H16" s="5">
        <f>IF(OR(B16="",G16="",G16=0),"",(B16-G16)/G16)</f>
        <v/>
      </c>
    </row>
    <row r="17">
      <c r="A17" s="2">
        <f>Watchlist!A17</f>
        <v/>
      </c>
      <c r="B17" s="3">
        <f>Watchlist!C17</f>
        <v/>
      </c>
      <c r="C17" s="3" t="n">
        <v>28.021</v>
      </c>
      <c r="D17" s="3">
        <f>IF(OR(B17="",C17="",C17=0),"",B17-C17)</f>
        <v/>
      </c>
      <c r="E17" s="5">
        <f>IF(OR(B17="",C17="",C17=0),"",(B17-C17)/C17)</f>
        <v/>
      </c>
      <c r="F17" s="2" t="n"/>
      <c r="G17" s="3">
        <f>Watchlist!F17</f>
        <v/>
      </c>
      <c r="H17" s="5">
        <f>IF(OR(B17="",G17="",G17=0),"",(B17-G17)/G17)</f>
        <v/>
      </c>
    </row>
    <row r="18">
      <c r="A18" s="2">
        <f>Watchlist!A18</f>
        <v/>
      </c>
      <c r="B18" s="3">
        <f>Watchlist!C18</f>
        <v/>
      </c>
      <c r="C18" s="3" t="n">
        <v>27.412</v>
      </c>
      <c r="D18" s="3">
        <f>IF(OR(B18="",C18="",C18=0),"",B18-C18)</f>
        <v/>
      </c>
      <c r="E18" s="5">
        <f>IF(OR(B18="",C18="",C18=0),"",(B18-C18)/C18)</f>
        <v/>
      </c>
      <c r="F18" s="2" t="n"/>
      <c r="G18" s="3">
        <f>Watchlist!F18</f>
        <v/>
      </c>
      <c r="H18" s="5">
        <f>IF(OR(B18="",G18="",G18=0),"",(B18-G18)/G18)</f>
        <v/>
      </c>
    </row>
    <row r="19">
      <c r="A19" s="2">
        <f>Watchlist!A19</f>
        <v/>
      </c>
      <c r="B19" s="3">
        <f>Watchlist!C19</f>
        <v/>
      </c>
      <c r="C19" s="3" t="n">
        <v>594.37</v>
      </c>
      <c r="D19" s="3">
        <f>IF(OR(B19="",C19="",C19=0),"",B19-C19)</f>
        <v/>
      </c>
      <c r="E19" s="5">
        <f>IF(OR(B19="",C19="",C19=0),"",(B19-C19)/C19)</f>
        <v/>
      </c>
      <c r="F19" s="2" t="n"/>
      <c r="G19" s="3">
        <f>Watchlist!F19</f>
        <v/>
      </c>
      <c r="H19" s="5">
        <f>IF(OR(B19="",G19="",G19=0),"",(B19-G19)/G19)</f>
        <v/>
      </c>
    </row>
    <row r="20">
      <c r="A20" s="2">
        <f>Watchlist!A20</f>
        <v/>
      </c>
      <c r="B20" s="3">
        <f>Watchlist!C20</f>
        <v/>
      </c>
      <c r="C20" s="3" t="n">
        <v>31.258</v>
      </c>
      <c r="D20" s="3">
        <f>IF(OR(B20="",C20="",C20=0),"",B20-C20)</f>
        <v/>
      </c>
      <c r="E20" s="5">
        <f>IF(OR(B20="",C20="",C20=0),"",(B20-C20)/C20)</f>
        <v/>
      </c>
      <c r="F20" s="2" t="n"/>
      <c r="G20" s="3">
        <f>Watchlist!F20</f>
        <v/>
      </c>
      <c r="H20" s="5">
        <f>IF(OR(B20="",G20="",G20=0),"",(B20-G20)/G20)</f>
        <v/>
      </c>
    </row>
    <row r="21">
      <c r="A21" s="2">
        <f>Watchlist!A21</f>
        <v/>
      </c>
      <c r="B21" s="3">
        <f>Watchlist!C21</f>
        <v/>
      </c>
      <c r="C21" s="3" t="n">
        <v>58.943</v>
      </c>
      <c r="D21" s="3">
        <f>IF(OR(B21="",C21="",C21=0),"",B21-C21)</f>
        <v/>
      </c>
      <c r="E21" s="5">
        <f>IF(OR(B21="",C21="",C21=0),"",(B21-C21)/C21)</f>
        <v/>
      </c>
      <c r="F21" s="2" t="n"/>
      <c r="G21" s="3">
        <f>Watchlist!F21</f>
        <v/>
      </c>
      <c r="H21" s="5">
        <f>IF(OR(B21="",G21="",G21=0),"",(B21-G21)/G21)</f>
        <v/>
      </c>
    </row>
    <row r="22">
      <c r="A22" s="2">
        <f>Watchlist!A22</f>
        <v/>
      </c>
      <c r="B22" s="3">
        <f>Watchlist!C22</f>
        <v/>
      </c>
      <c r="C22" s="3" t="n">
        <v>89.9995</v>
      </c>
      <c r="D22" s="3">
        <f>IF(OR(B22="",C22="",C22=0),"",B22-C22)</f>
        <v/>
      </c>
      <c r="E22" s="5">
        <f>IF(OR(B22="",C22="",C22=0),"",(B22-C22)/C22)</f>
        <v/>
      </c>
      <c r="F22" s="2" t="n"/>
      <c r="G22" s="3">
        <f>Watchlist!F22</f>
        <v/>
      </c>
      <c r="H22" s="5">
        <f>IF(OR(B22="",G22="",G22=0),"",(B22-G22)/G22)</f>
        <v/>
      </c>
    </row>
    <row r="23">
      <c r="A23" s="2">
        <f>Watchlist!A23</f>
        <v/>
      </c>
      <c r="B23" s="3">
        <f>Watchlist!C23</f>
        <v/>
      </c>
      <c r="C23" s="3" t="n">
        <v>59.0985</v>
      </c>
      <c r="D23" s="3">
        <f>IF(OR(B23="",C23="",C23=0),"",B23-C23)</f>
        <v/>
      </c>
      <c r="E23" s="5">
        <f>IF(OR(B23="",C23="",C23=0),"",(B23-C23)/C23)</f>
        <v/>
      </c>
      <c r="F23" s="2" t="n"/>
      <c r="G23" s="3">
        <f>Watchlist!F23</f>
        <v/>
      </c>
      <c r="H23" s="5">
        <f>IF(OR(B23="",G23="",G23=0),"",(B23-G23)/G23)</f>
        <v/>
      </c>
    </row>
    <row r="24">
      <c r="A24" s="2">
        <f>Watchlist!A24</f>
        <v/>
      </c>
      <c r="B24" s="3">
        <f>Watchlist!C24</f>
        <v/>
      </c>
      <c r="C24" s="3" t="n">
        <v>279.088</v>
      </c>
      <c r="D24" s="3">
        <f>IF(OR(B24="",C24="",C24=0),"",B24-C24)</f>
        <v/>
      </c>
      <c r="E24" s="5">
        <f>IF(OR(B24="",C24="",C24=0),"",(B24-C24)/C24)</f>
        <v/>
      </c>
      <c r="F24" s="2" t="n"/>
      <c r="G24" s="3">
        <f>Watchlist!F24</f>
        <v/>
      </c>
      <c r="H24" s="5">
        <f>IF(OR(B24="",G24="",G24=0),"",(B24-G24)/G24)</f>
        <v/>
      </c>
    </row>
    <row r="25">
      <c r="A25" s="2">
        <f>Watchlist!A25</f>
        <v/>
      </c>
      <c r="B25" s="3">
        <f>Watchlist!C25</f>
        <v/>
      </c>
      <c r="C25" s="3" t="n">
        <v>59.613</v>
      </c>
      <c r="D25" s="3">
        <f>IF(OR(B25="",C25="",C25=0),"",B25-C25)</f>
        <v/>
      </c>
      <c r="E25" s="5">
        <f>IF(OR(B25="",C25="",C25=0),"",(B25-C25)/C25)</f>
        <v/>
      </c>
      <c r="F25" s="2" t="n"/>
      <c r="G25" s="3">
        <f>Watchlist!F25</f>
        <v/>
      </c>
      <c r="H25" s="5">
        <f>IF(OR(B25="",G25="",G25=0),"",(B25-G25)/G25)</f>
        <v/>
      </c>
    </row>
    <row r="26">
      <c r="A26" s="2">
        <f>Watchlist!A26</f>
        <v/>
      </c>
      <c r="B26" s="3">
        <f>Watchlist!C26</f>
        <v/>
      </c>
      <c r="C26" s="2" t="n"/>
      <c r="D26" s="2" t="n"/>
      <c r="E26" s="2" t="n"/>
      <c r="F26" s="2" t="n"/>
      <c r="G26" s="3">
        <f>Watchlist!F26</f>
        <v/>
      </c>
      <c r="H26" s="5">
        <f>IF(OR(B26="",G26="",G26=0),"",(B26-G26)/G26)</f>
        <v/>
      </c>
    </row>
    <row r="27">
      <c r="A27" s="2">
        <f>Watchlist!A27</f>
        <v/>
      </c>
      <c r="B27" s="3">
        <f>Watchlist!C27</f>
        <v/>
      </c>
      <c r="C27" s="3" t="n">
        <v>62.206</v>
      </c>
      <c r="D27" s="3">
        <f>IF(OR(B27="",C27="",C27=0),"",B27-C27)</f>
        <v/>
      </c>
      <c r="E27" s="5">
        <f>IF(OR(B27="",C27="",C27=0),"",(B27-C27)/C27)</f>
        <v/>
      </c>
      <c r="F27" s="2" t="n"/>
      <c r="G27" s="3">
        <f>Watchlist!F27</f>
        <v/>
      </c>
      <c r="H27" s="5">
        <f>IF(OR(B27="",G27="",G27=0),"",(B27-G27)/G27)</f>
        <v/>
      </c>
    </row>
    <row r="28">
      <c r="A28" s="2">
        <f>Watchlist!A28</f>
        <v/>
      </c>
      <c r="B28" s="3">
        <f>Watchlist!C28</f>
        <v/>
      </c>
      <c r="C28" s="3" t="n">
        <v>31.071</v>
      </c>
      <c r="D28" s="3">
        <f>IF(OR(B28="",C28="",C28=0),"",B28-C28)</f>
        <v/>
      </c>
      <c r="E28" s="5">
        <f>IF(OR(B28="",C28="",C28=0),"",(B28-C28)/C28)</f>
        <v/>
      </c>
      <c r="F28" s="2" t="n"/>
      <c r="G28" s="3">
        <f>Watchlist!F28</f>
        <v/>
      </c>
      <c r="H28" s="5">
        <f>IF(OR(B28="",G28="",G28=0),"",(B28-G28)/G28)</f>
        <v/>
      </c>
    </row>
    <row r="29">
      <c r="A29" s="2">
        <f>Watchlist!A29</f>
        <v/>
      </c>
      <c r="B29" s="3">
        <f>Watchlist!C29</f>
        <v/>
      </c>
      <c r="C29" s="3" t="n">
        <v>95.33199999999999</v>
      </c>
      <c r="D29" s="3">
        <f>IF(OR(B29="",C29="",C29=0),"",B29-C29)</f>
        <v/>
      </c>
      <c r="E29" s="5">
        <f>IF(OR(B29="",C29="",C29=0),"",(B29-C29)/C29)</f>
        <v/>
      </c>
      <c r="F29" s="2" t="n"/>
      <c r="G29" s="3">
        <f>Watchlist!F29</f>
        <v/>
      </c>
      <c r="H29" s="5">
        <f>IF(OR(B29="",G29="",G29=0),"",(B29-G29)/G29)</f>
        <v/>
      </c>
    </row>
    <row r="30">
      <c r="A30" s="2">
        <f>Watchlist!A30</f>
        <v/>
      </c>
      <c r="B30" s="3">
        <f>Watchlist!C30</f>
        <v/>
      </c>
      <c r="C30" s="3" t="n">
        <v>86.4285</v>
      </c>
      <c r="D30" s="3">
        <f>IF(OR(B30="",C30="",C30=0),"",B30-C30)</f>
        <v/>
      </c>
      <c r="E30" s="5">
        <f>IF(OR(B30="",C30="",C30=0),"",(B30-C30)/C30)</f>
        <v/>
      </c>
      <c r="F30" s="2" t="n"/>
      <c r="G30" s="3">
        <f>Watchlist!F30</f>
        <v/>
      </c>
      <c r="H30" s="5">
        <f>IF(OR(B30="",G30="",G30=0),"",(B30-G30)/G30)</f>
        <v/>
      </c>
    </row>
    <row r="31">
      <c r="A31" s="2">
        <f>Watchlist!A31</f>
        <v/>
      </c>
      <c r="B31" s="3">
        <f>Watchlist!C31</f>
        <v/>
      </c>
      <c r="C31" s="2" t="n"/>
      <c r="D31" s="2" t="n"/>
      <c r="E31" s="2" t="n"/>
      <c r="F31" s="2" t="n"/>
      <c r="G31" s="3">
        <f>Watchlist!F31</f>
        <v/>
      </c>
      <c r="H31" s="5">
        <f>IF(OR(B31="",G31="",G31=0),"",(B31-G31)/G31)</f>
        <v/>
      </c>
    </row>
    <row r="32">
      <c r="A32" s="2">
        <f>Watchlist!A32</f>
        <v/>
      </c>
      <c r="B32" s="3">
        <f>Watchlist!C32</f>
        <v/>
      </c>
      <c r="C32" s="3" t="n">
        <v>51.4905</v>
      </c>
      <c r="D32" s="3">
        <f>IF(OR(B32="",C32="",C32=0),"",B32-C32)</f>
        <v/>
      </c>
      <c r="E32" s="5">
        <f>IF(OR(B32="",C32="",C32=0),"",(B32-C32)/C32)</f>
        <v/>
      </c>
      <c r="F32" s="2" t="n"/>
      <c r="G32" s="3">
        <f>Watchlist!F32</f>
        <v/>
      </c>
      <c r="H32" s="5">
        <f>IF(OR(B32="",G32="",G32=0),"",(B32-G32)/G32)</f>
        <v/>
      </c>
    </row>
    <row r="33">
      <c r="A33" s="2">
        <f>Watchlist!A33</f>
        <v/>
      </c>
      <c r="B33" s="3">
        <f>Watchlist!C33</f>
        <v/>
      </c>
      <c r="C33" s="3" t="n">
        <v>52.711</v>
      </c>
      <c r="D33" s="3">
        <f>IF(OR(B33="",C33="",C33=0),"",B33-C33)</f>
        <v/>
      </c>
      <c r="E33" s="5">
        <f>IF(OR(B33="",C33="",C33=0),"",(B33-C33)/C33)</f>
        <v/>
      </c>
      <c r="F33" s="2" t="n"/>
      <c r="G33" s="3">
        <f>Watchlist!F33</f>
        <v/>
      </c>
      <c r="H33" s="5">
        <f>IF(OR(B33="",G33="",G33=0),"",(B33-G33)/G33)</f>
        <v/>
      </c>
    </row>
    <row r="34">
      <c r="A34" s="2">
        <f>Watchlist!A34</f>
        <v/>
      </c>
      <c r="B34" s="3">
        <f>Watchlist!C34</f>
        <v/>
      </c>
      <c r="C34" s="3" t="n">
        <v>170.022</v>
      </c>
      <c r="D34" s="3">
        <f>IF(OR(B34="",C34="",C34=0),"",B34-C34)</f>
        <v/>
      </c>
      <c r="E34" s="5">
        <f>IF(OR(B34="",C34="",C34=0),"",(B34-C34)/C34)</f>
        <v/>
      </c>
      <c r="F34" s="2" t="n"/>
      <c r="G34" s="3">
        <f>Watchlist!F34</f>
        <v/>
      </c>
      <c r="H34" s="5">
        <f>IF(OR(B34="",G34="",G34=0),"",(B34-G34)/G34)</f>
        <v/>
      </c>
    </row>
    <row r="35">
      <c r="A35" s="2">
        <f>Watchlist!A35</f>
        <v/>
      </c>
      <c r="B35" s="3">
        <f>Watchlist!C35</f>
        <v/>
      </c>
      <c r="C35" s="3" t="n">
        <v>51.5185</v>
      </c>
      <c r="D35" s="3">
        <f>IF(OR(B35="",C35="",C35=0),"",B35-C35)</f>
        <v/>
      </c>
      <c r="E35" s="5">
        <f>IF(OR(B35="",C35="",C35=0),"",(B35-C35)/C35)</f>
        <v/>
      </c>
      <c r="F35" s="2" t="n"/>
      <c r="G35" s="3">
        <f>Watchlist!F35</f>
        <v/>
      </c>
      <c r="H35" s="5">
        <f>IF(OR(B35="",G35="",G35=0),"",(B35-G35)/G35)</f>
        <v/>
      </c>
    </row>
    <row r="36">
      <c r="A36" s="2">
        <f>Watchlist!A36</f>
        <v/>
      </c>
      <c r="B36" s="3">
        <f>Watchlist!C36</f>
        <v/>
      </c>
      <c r="C36" s="3" t="n">
        <v>39.6685</v>
      </c>
      <c r="D36" s="3">
        <f>IF(OR(B36="",C36="",C36=0),"",B36-C36)</f>
        <v/>
      </c>
      <c r="E36" s="5">
        <f>IF(OR(B36="",C36="",C36=0),"",(B36-C36)/C36)</f>
        <v/>
      </c>
      <c r="F36" s="2" t="n"/>
      <c r="G36" s="3">
        <f>Watchlist!F36</f>
        <v/>
      </c>
      <c r="H36" s="5">
        <f>IF(OR(B36="",G36="",G36=0),"",(B36-G36)/G36)</f>
        <v/>
      </c>
    </row>
    <row r="37">
      <c r="A37" s="2">
        <f>Watchlist!A37</f>
        <v/>
      </c>
      <c r="B37" s="3">
        <f>Watchlist!C37</f>
        <v/>
      </c>
      <c r="C37" s="3" t="n">
        <v>86.1395</v>
      </c>
      <c r="D37" s="3">
        <f>IF(OR(B37="",C37="",C37=0),"",B37-C37)</f>
        <v/>
      </c>
      <c r="E37" s="5">
        <f>IF(OR(B37="",C37="",C37=0),"",(B37-C37)/C37)</f>
        <v/>
      </c>
      <c r="F37" s="2" t="n"/>
      <c r="G37" s="3">
        <f>Watchlist!F37</f>
        <v/>
      </c>
      <c r="H37" s="5">
        <f>IF(OR(B37="",G37="",G37=0),"",(B37-G37)/G37)</f>
        <v/>
      </c>
    </row>
    <row r="38">
      <c r="A38" s="2">
        <f>Watchlist!A38</f>
        <v/>
      </c>
      <c r="B38" s="3">
        <f>Watchlist!C38</f>
        <v/>
      </c>
      <c r="C38" s="3" t="n">
        <v>79.3005</v>
      </c>
      <c r="D38" s="3">
        <f>IF(OR(B38="",C38="",C38=0),"",B38-C38)</f>
        <v/>
      </c>
      <c r="E38" s="5">
        <f>IF(OR(B38="",C38="",C38=0),"",(B38-C38)/C38)</f>
        <v/>
      </c>
      <c r="F38" s="2" t="n"/>
      <c r="G38" s="3">
        <f>Watchlist!F38</f>
        <v/>
      </c>
      <c r="H38" s="5">
        <f>IF(OR(B38="",G38="",G38=0),"",(B38-G38)/G38)</f>
        <v/>
      </c>
    </row>
    <row r="39">
      <c r="A39" s="2">
        <f>Watchlist!A39</f>
        <v/>
      </c>
      <c r="B39" s="3">
        <f>Watchlist!C39</f>
        <v/>
      </c>
      <c r="C39" s="3" t="n">
        <v>144.229</v>
      </c>
      <c r="D39" s="3">
        <f>IF(OR(B39="",C39="",C39=0),"",B39-C39)</f>
        <v/>
      </c>
      <c r="E39" s="5">
        <f>IF(OR(B39="",C39="",C39=0),"",(B39-C39)/C39)</f>
        <v/>
      </c>
      <c r="F39" s="2" t="n"/>
      <c r="G39" s="3">
        <f>Watchlist!F39</f>
        <v/>
      </c>
      <c r="H39" s="5">
        <f>IF(OR(B39="",G39="",G39=0),"",(B39-G39)/G39)</f>
        <v/>
      </c>
    </row>
    <row r="40">
      <c r="A40" s="2">
        <f>Watchlist!A40</f>
        <v/>
      </c>
      <c r="B40" s="3">
        <f>Watchlist!C40</f>
        <v/>
      </c>
      <c r="C40" s="3" t="n">
        <v>29.7065</v>
      </c>
      <c r="D40" s="3">
        <f>IF(OR(B40="",C40="",C40=0),"",B40-C40)</f>
        <v/>
      </c>
      <c r="E40" s="5">
        <f>IF(OR(B40="",C40="",C40=0),"",(B40-C40)/C40)</f>
        <v/>
      </c>
      <c r="F40" s="2" t="n"/>
      <c r="G40" s="3">
        <f>Watchlist!F40</f>
        <v/>
      </c>
      <c r="H40" s="5">
        <f>IF(OR(B40="",G40="",G40=0),"",(B40-G40)/G40)</f>
        <v/>
      </c>
    </row>
    <row r="41">
      <c r="A41" s="2">
        <f>Watchlist!A41</f>
        <v/>
      </c>
      <c r="B41" s="3">
        <f>Watchlist!C41</f>
        <v/>
      </c>
      <c r="C41" s="3" t="n">
        <v>273.7375</v>
      </c>
      <c r="D41" s="3">
        <f>IF(OR(B41="",C41="",C41=0),"",B41-C41)</f>
        <v/>
      </c>
      <c r="E41" s="5">
        <f>IF(OR(B41="",C41="",C41=0),"",(B41-C41)/C41)</f>
        <v/>
      </c>
      <c r="F41" s="2" t="n"/>
      <c r="G41" s="3">
        <f>Watchlist!F41</f>
        <v/>
      </c>
      <c r="H41" s="5">
        <f>IF(OR(B41="",G41="",G41=0),"",(B41-G41)/G41)</f>
        <v/>
      </c>
    </row>
    <row r="42">
      <c r="A42" s="2">
        <f>Watchlist!A42</f>
        <v/>
      </c>
      <c r="B42" s="3">
        <f>Watchlist!C42</f>
        <v/>
      </c>
      <c r="C42" s="3" t="n">
        <v>296.8395</v>
      </c>
      <c r="D42" s="3">
        <f>IF(OR(B42="",C42="",C42=0),"",B42-C42)</f>
        <v/>
      </c>
      <c r="E42" s="5">
        <f>IF(OR(B42="",C42="",C42=0),"",(B42-C42)/C42)</f>
        <v/>
      </c>
      <c r="F42" s="2" t="n"/>
      <c r="G42" s="3">
        <f>Watchlist!F42</f>
        <v/>
      </c>
      <c r="H42" s="5">
        <f>IF(OR(B42="",G42="",G42=0),"",(B42-G42)/G42)</f>
        <v/>
      </c>
    </row>
    <row r="43">
      <c r="A43" s="2">
        <f>Watchlist!A43</f>
        <v/>
      </c>
      <c r="B43" s="3">
        <f>Watchlist!C43</f>
        <v/>
      </c>
      <c r="C43" s="3" t="n">
        <v>277.0435</v>
      </c>
      <c r="D43" s="3">
        <f>IF(OR(B43="",C43="",C43=0),"",B43-C43)</f>
        <v/>
      </c>
      <c r="E43" s="5">
        <f>IF(OR(B43="",C43="",C43=0),"",(B43-C43)/C43)</f>
        <v/>
      </c>
      <c r="F43" s="2" t="n"/>
      <c r="G43" s="3">
        <f>Watchlist!F43</f>
        <v/>
      </c>
      <c r="H43" s="5">
        <f>IF(OR(B43="",G43="",G43=0),"",(B43-G43)/G43)</f>
        <v/>
      </c>
    </row>
    <row r="44">
      <c r="A44" s="2">
        <f>Watchlist!A44</f>
        <v/>
      </c>
      <c r="B44" s="3">
        <f>Watchlist!C44</f>
        <v/>
      </c>
      <c r="C44" s="3" t="n">
        <v>275.6255</v>
      </c>
      <c r="D44" s="3">
        <f>IF(OR(B44="",C44="",C44=0),"",B44-C44)</f>
        <v/>
      </c>
      <c r="E44" s="5">
        <f>IF(OR(B44="",C44="",C44=0),"",(B44-C44)/C44)</f>
        <v/>
      </c>
      <c r="F44" s="2" t="n"/>
      <c r="G44" s="3">
        <f>Watchlist!F44</f>
        <v/>
      </c>
      <c r="H44" s="5">
        <f>IF(OR(B44="",G44="",G44=0),"",(B44-G44)/G44)</f>
        <v/>
      </c>
    </row>
    <row r="45">
      <c r="A45" s="2">
        <f>Watchlist!A45</f>
        <v/>
      </c>
      <c r="B45" s="3">
        <f>Watchlist!C45</f>
        <v/>
      </c>
      <c r="C45" s="3" t="n">
        <v>261.827</v>
      </c>
      <c r="D45" s="3">
        <f>IF(OR(B45="",C45="",C45=0),"",B45-C45)</f>
        <v/>
      </c>
      <c r="E45" s="5">
        <f>IF(OR(B45="",C45="",C45=0),"",(B45-C45)/C45)</f>
        <v/>
      </c>
      <c r="F45" s="2" t="n"/>
      <c r="G45" s="3">
        <f>Watchlist!F45</f>
        <v/>
      </c>
      <c r="H45" s="5">
        <f>IF(OR(B45="",G45="",G45=0),"",(B45-G45)/G45)</f>
        <v/>
      </c>
    </row>
    <row r="46">
      <c r="A46" s="2">
        <f>Watchlist!A46</f>
        <v/>
      </c>
      <c r="B46" s="3">
        <f>Watchlist!C46</f>
        <v/>
      </c>
      <c r="C46" s="3" t="n">
        <v>17.052</v>
      </c>
      <c r="D46" s="3">
        <f>IF(OR(B46="",C46="",C46=0),"",B46-C46)</f>
        <v/>
      </c>
      <c r="E46" s="5">
        <f>IF(OR(B46="",C46="",C46=0),"",(B46-C46)/C46)</f>
        <v/>
      </c>
      <c r="F46" s="2" t="n"/>
      <c r="G46" s="3">
        <f>Watchlist!F46</f>
        <v/>
      </c>
      <c r="H46" s="5">
        <f>IF(OR(B46="",G46="",G46=0),"",(B46-G46)/G46)</f>
        <v/>
      </c>
    </row>
    <row r="47">
      <c r="A47" s="2">
        <f>Watchlist!A47</f>
        <v/>
      </c>
      <c r="B47" s="3">
        <f>Watchlist!C47</f>
        <v/>
      </c>
      <c r="C47" s="3" t="n">
        <v>28.5455</v>
      </c>
      <c r="D47" s="3">
        <f>IF(OR(B47="",C47="",C47=0),"",B47-C47)</f>
        <v/>
      </c>
      <c r="E47" s="5">
        <f>IF(OR(B47="",C47="",C47=0),"",(B47-C47)/C47)</f>
        <v/>
      </c>
      <c r="F47" s="2" t="n"/>
      <c r="G47" s="3">
        <f>Watchlist!F47</f>
        <v/>
      </c>
      <c r="H47" s="5">
        <f>IF(OR(B47="",G47="",G47=0),"",(B47-G47)/G47)</f>
        <v/>
      </c>
    </row>
    <row r="48">
      <c r="A48" s="2">
        <f>Watchlist!A48</f>
        <v/>
      </c>
      <c r="B48" s="3">
        <f>Watchlist!C48</f>
        <v/>
      </c>
      <c r="C48" s="3" t="n">
        <v>264.611</v>
      </c>
      <c r="D48" s="3">
        <f>IF(OR(B48="",C48="",C48=0),"",B48-C48)</f>
        <v/>
      </c>
      <c r="E48" s="5">
        <f>IF(OR(B48="",C48="",C48=0),"",(B48-C48)/C48)</f>
        <v/>
      </c>
      <c r="F48" s="2" t="n"/>
      <c r="G48" s="3">
        <f>Watchlist!F48</f>
        <v/>
      </c>
      <c r="H48" s="5">
        <f>IF(OR(B48="",G48="",G48=0),"",(B48-G48)/G48)</f>
        <v/>
      </c>
    </row>
    <row r="49">
      <c r="A49" s="2">
        <f>Watchlist!A49</f>
        <v/>
      </c>
      <c r="B49" s="3">
        <f>Watchlist!C49</f>
        <v/>
      </c>
      <c r="C49" s="2" t="n"/>
      <c r="D49" s="2" t="n"/>
      <c r="E49" s="2" t="n"/>
      <c r="F49" s="2" t="n"/>
      <c r="G49" s="3">
        <f>Watchlist!F49</f>
        <v/>
      </c>
      <c r="H49" s="5">
        <f>IF(OR(B49="",G49="",G49=0),"",(B49-G49)/G49)</f>
        <v/>
      </c>
    </row>
    <row r="50">
      <c r="A50" s="2">
        <f>Watchlist!A50</f>
        <v/>
      </c>
      <c r="B50" s="3">
        <f>Watchlist!C50</f>
        <v/>
      </c>
      <c r="C50" s="3" t="n">
        <v>88.122</v>
      </c>
      <c r="D50" s="3">
        <f>IF(OR(B50="",C50="",C50=0),"",B50-C50)</f>
        <v/>
      </c>
      <c r="E50" s="5">
        <f>IF(OR(B50="",C50="",C50=0),"",(B50-C50)/C50)</f>
        <v/>
      </c>
      <c r="F50" s="2" t="n"/>
      <c r="G50" s="3">
        <f>Watchlist!F50</f>
        <v/>
      </c>
      <c r="H50" s="5">
        <f>IF(OR(B50="",G50="",G50=0),"",(B50-G50)/G50)</f>
        <v/>
      </c>
    </row>
    <row r="51">
      <c r="A51" s="2">
        <f>Watchlist!A51</f>
        <v/>
      </c>
      <c r="B51" s="3">
        <f>Watchlist!C51</f>
        <v/>
      </c>
      <c r="C51" s="3" t="n">
        <v>324.809</v>
      </c>
      <c r="D51" s="3">
        <f>IF(OR(B51="",C51="",C51=0),"",B51-C51)</f>
        <v/>
      </c>
      <c r="E51" s="5">
        <f>IF(OR(B51="",C51="",C51=0),"",(B51-C51)/C51)</f>
        <v/>
      </c>
      <c r="F51" s="2" t="n"/>
      <c r="G51" s="3">
        <f>Watchlist!F51</f>
        <v/>
      </c>
      <c r="H51" s="5">
        <f>IF(OR(B51="",G51="",G51=0),"",(B51-G51)/G51)</f>
        <v/>
      </c>
    </row>
    <row r="52">
      <c r="A52" s="2">
        <f>Watchlist!A52</f>
        <v/>
      </c>
      <c r="B52" s="3">
        <f>Watchlist!C52</f>
        <v/>
      </c>
      <c r="C52" s="3" t="n">
        <v>24.015</v>
      </c>
      <c r="D52" s="3">
        <f>IF(OR(B52="",C52="",C52=0),"",B52-C52)</f>
        <v/>
      </c>
      <c r="E52" s="5">
        <f>IF(OR(B52="",C52="",C52=0),"",(B52-C52)/C52)</f>
        <v/>
      </c>
      <c r="F52" s="2" t="n"/>
      <c r="G52" s="3">
        <f>Watchlist!F52</f>
        <v/>
      </c>
      <c r="H52" s="5">
        <f>IF(OR(B52="",G52="",G52=0),"",(B52-G52)/G52)</f>
        <v/>
      </c>
    </row>
    <row r="53">
      <c r="A53" s="2">
        <f>Watchlist!A53</f>
        <v/>
      </c>
      <c r="B53" s="3">
        <f>Watchlist!C53</f>
        <v/>
      </c>
      <c r="C53" s="3" t="n">
        <v>269.7125</v>
      </c>
      <c r="D53" s="3">
        <f>IF(OR(B53="",C53="",C53=0),"",B53-C53)</f>
        <v/>
      </c>
      <c r="E53" s="5">
        <f>IF(OR(B53="",C53="",C53=0),"",(B53-C53)/C53)</f>
        <v/>
      </c>
      <c r="F53" s="2" t="n"/>
      <c r="G53" s="3">
        <f>Watchlist!F53</f>
        <v/>
      </c>
      <c r="H53" s="5">
        <f>IF(OR(B53="",G53="",G53=0),"",(B53-G53)/G53)</f>
        <v/>
      </c>
    </row>
    <row r="54">
      <c r="A54" s="2">
        <f>Watchlist!A54</f>
        <v/>
      </c>
      <c r="B54" s="3">
        <f>Watchlist!C54</f>
        <v/>
      </c>
      <c r="C54" s="3" t="n">
        <v>10.6775</v>
      </c>
      <c r="D54" s="3">
        <f>IF(OR(B54="",C54="",C54=0),"",B54-C54)</f>
        <v/>
      </c>
      <c r="E54" s="5">
        <f>IF(OR(B54="",C54="",C54=0),"",(B54-C54)/C54)</f>
        <v/>
      </c>
      <c r="F54" s="2" t="n"/>
      <c r="G54" s="3">
        <f>Watchlist!F54</f>
        <v/>
      </c>
      <c r="H54" s="5">
        <f>IF(OR(B54="",G54="",G54=0),"",(B54-G54)/G54)</f>
        <v/>
      </c>
    </row>
    <row r="55">
      <c r="A55" s="2">
        <f>Watchlist!A55</f>
        <v/>
      </c>
      <c r="B55" s="3">
        <f>Watchlist!C55</f>
        <v/>
      </c>
      <c r="C55" s="3" t="n">
        <v>28.3565</v>
      </c>
      <c r="D55" s="3">
        <f>IF(OR(B55="",C55="",C55=0),"",B55-C55)</f>
        <v/>
      </c>
      <c r="E55" s="5">
        <f>IF(OR(B55="",C55="",C55=0),"",(B55-C55)/C55)</f>
        <v/>
      </c>
      <c r="F55" s="2" t="n"/>
      <c r="G55" s="3">
        <f>Watchlist!F55</f>
        <v/>
      </c>
      <c r="H55" s="5">
        <f>IF(OR(B55="",G55="",G55=0),"",(B55-G55)/G55)</f>
        <v/>
      </c>
    </row>
    <row r="56">
      <c r="A56" s="2">
        <f>Watchlist!A56</f>
        <v/>
      </c>
      <c r="B56" s="3">
        <f>Watchlist!C56</f>
        <v/>
      </c>
      <c r="C56" s="3" t="n">
        <v>22.5625</v>
      </c>
      <c r="D56" s="3">
        <f>IF(OR(B56="",C56="",C56=0),"",B56-C56)</f>
        <v/>
      </c>
      <c r="E56" s="5">
        <f>IF(OR(B56="",C56="",C56=0),"",(B56-C56)/C56)</f>
        <v/>
      </c>
      <c r="F56" s="2" t="n"/>
      <c r="G56" s="3">
        <f>Watchlist!F56</f>
        <v/>
      </c>
      <c r="H56" s="5">
        <f>IF(OR(B56="",G56="",G56=0),"",(B56-G56)/G56)</f>
        <v/>
      </c>
    </row>
    <row r="57">
      <c r="A57" s="2">
        <f>Watchlist!A57</f>
        <v/>
      </c>
      <c r="B57" s="3">
        <f>Watchlist!C57</f>
        <v/>
      </c>
      <c r="C57" s="3" t="n">
        <v>28.2495</v>
      </c>
      <c r="D57" s="3">
        <f>IF(OR(B57="",C57="",C57=0),"",B57-C57)</f>
        <v/>
      </c>
      <c r="E57" s="5">
        <f>IF(OR(B57="",C57="",C57=0),"",(B57-C57)/C57)</f>
        <v/>
      </c>
      <c r="F57" s="2" t="n"/>
      <c r="G57" s="3">
        <f>Watchlist!F57</f>
        <v/>
      </c>
      <c r="H57" s="5">
        <f>IF(OR(B57="",G57="",G57=0),"",(B57-G57)/G57)</f>
        <v/>
      </c>
    </row>
    <row r="58">
      <c r="A58" s="2">
        <f>Watchlist!A58</f>
        <v/>
      </c>
      <c r="B58" s="3">
        <f>Watchlist!C58</f>
        <v/>
      </c>
      <c r="C58" s="3" t="n">
        <v>796.779</v>
      </c>
      <c r="D58" s="3">
        <f>IF(OR(B58="",C58="",C58=0),"",B58-C58)</f>
        <v/>
      </c>
      <c r="E58" s="5">
        <f>IF(OR(B58="",C58="",C58=0),"",(B58-C58)/C58)</f>
        <v/>
      </c>
      <c r="F58" s="2" t="n"/>
      <c r="G58" s="3">
        <f>Watchlist!F58</f>
        <v/>
      </c>
      <c r="H58" s="5">
        <f>IF(OR(B58="",G58="",G58=0),"",(B58-G58)/G58)</f>
        <v/>
      </c>
    </row>
    <row r="59">
      <c r="A59" s="2">
        <f>Watchlist!A59</f>
        <v/>
      </c>
      <c r="B59" s="3">
        <f>Watchlist!C59</f>
        <v/>
      </c>
      <c r="C59" s="3" t="n">
        <v>37.8445</v>
      </c>
      <c r="D59" s="3">
        <f>IF(OR(B59="",C59="",C59=0),"",B59-C59)</f>
        <v/>
      </c>
      <c r="E59" s="5">
        <f>IF(OR(B59="",C59="",C59=0),"",(B59-C59)/C59)</f>
        <v/>
      </c>
      <c r="F59" s="2" t="n"/>
      <c r="G59" s="3">
        <f>Watchlist!F59</f>
        <v/>
      </c>
      <c r="H59" s="5">
        <f>IF(OR(B59="",G59="",G59=0),"",(B59-G59)/G59)</f>
        <v/>
      </c>
    </row>
    <row r="60">
      <c r="A60" s="2">
        <f>Watchlist!A60</f>
        <v/>
      </c>
      <c r="B60" s="3">
        <f>Watchlist!C60</f>
        <v/>
      </c>
      <c r="C60" s="3" t="n">
        <v>182.626</v>
      </c>
      <c r="D60" s="3">
        <f>IF(OR(B60="",C60="",C60=0),"",B60-C60)</f>
        <v/>
      </c>
      <c r="E60" s="5">
        <f>IF(OR(B60="",C60="",C60=0),"",(B60-C60)/C60)</f>
        <v/>
      </c>
      <c r="F60" s="2" t="n"/>
      <c r="G60" s="3">
        <f>Watchlist!F60</f>
        <v/>
      </c>
      <c r="H60" s="5">
        <f>IF(OR(B60="",G60="",G60=0),"",(B60-G60)/G60)</f>
        <v/>
      </c>
    </row>
    <row r="61">
      <c r="A61" s="2">
        <f>Watchlist!A61</f>
        <v/>
      </c>
      <c r="B61" s="3">
        <f>Watchlist!C61</f>
        <v/>
      </c>
      <c r="C61" s="3" t="n">
        <v>21.004</v>
      </c>
      <c r="D61" s="3">
        <f>IF(OR(B61="",C61="",C61=0),"",B61-C61)</f>
        <v/>
      </c>
      <c r="E61" s="5">
        <f>IF(OR(B61="",C61="",C61=0),"",(B61-C61)/C61)</f>
        <v/>
      </c>
      <c r="F61" s="2" t="n"/>
      <c r="G61" s="3">
        <f>Watchlist!F61</f>
        <v/>
      </c>
      <c r="H61" s="5">
        <f>IF(OR(B61="",G61="",G61=0),"",(B61-G61)/G61)</f>
        <v/>
      </c>
    </row>
    <row r="62">
      <c r="A62" s="2">
        <f>Watchlist!A62</f>
        <v/>
      </c>
      <c r="B62" s="3">
        <f>Watchlist!C62</f>
        <v/>
      </c>
      <c r="C62" s="3" t="n">
        <v>96.5445</v>
      </c>
      <c r="D62" s="3">
        <f>IF(OR(B62="",C62="",C62=0),"",B62-C62)</f>
        <v/>
      </c>
      <c r="E62" s="5">
        <f>IF(OR(B62="",C62="",C62=0),"",(B62-C62)/C62)</f>
        <v/>
      </c>
      <c r="F62" s="2" t="n"/>
      <c r="G62" s="3">
        <f>Watchlist!F62</f>
        <v/>
      </c>
      <c r="H62" s="5">
        <f>IF(OR(B62="",G62="",G62=0),"",(B62-G62)/G62)</f>
        <v/>
      </c>
    </row>
    <row r="63">
      <c r="A63" s="2">
        <f>Watchlist!A63</f>
        <v/>
      </c>
      <c r="B63" s="3">
        <f>Watchlist!C63</f>
        <v/>
      </c>
      <c r="C63" s="3" t="n">
        <v>41.907</v>
      </c>
      <c r="D63" s="3">
        <f>IF(OR(B63="",C63="",C63=0),"",B63-C63)</f>
        <v/>
      </c>
      <c r="E63" s="5">
        <f>IF(OR(B63="",C63="",C63=0),"",(B63-C63)/C63)</f>
        <v/>
      </c>
      <c r="F63" s="2" t="n"/>
      <c r="G63" s="3">
        <f>Watchlist!F63</f>
        <v/>
      </c>
      <c r="H63" s="5">
        <f>IF(OR(B63="",G63="",G63=0),"",(B63-G63)/G63)</f>
        <v/>
      </c>
    </row>
    <row r="64">
      <c r="A64" s="2">
        <f>Watchlist!A64</f>
        <v/>
      </c>
      <c r="B64" s="3">
        <f>Watchlist!C64</f>
        <v/>
      </c>
      <c r="C64" s="3" t="n">
        <v>18.511</v>
      </c>
      <c r="D64" s="3">
        <f>IF(OR(B64="",C64="",C64=0),"",B64-C64)</f>
        <v/>
      </c>
      <c r="E64" s="5">
        <f>IF(OR(B64="",C64="",C64=0),"",(B64-C64)/C64)</f>
        <v/>
      </c>
      <c r="F64" s="2" t="n"/>
      <c r="G64" s="3">
        <f>Watchlist!F64</f>
        <v/>
      </c>
      <c r="H64" s="5">
        <f>IF(OR(B64="",G64="",G64=0),"",(B64-G64)/G64)</f>
        <v/>
      </c>
    </row>
    <row r="65">
      <c r="A65" s="2">
        <f>Watchlist!A65</f>
        <v/>
      </c>
      <c r="B65" s="3">
        <f>Watchlist!C65</f>
        <v/>
      </c>
      <c r="C65" s="3" t="n">
        <v>34.276</v>
      </c>
      <c r="D65" s="3">
        <f>IF(OR(B65="",C65="",C65=0),"",B65-C65)</f>
        <v/>
      </c>
      <c r="E65" s="5">
        <f>IF(OR(B65="",C65="",C65=0),"",(B65-C65)/C65)</f>
        <v/>
      </c>
      <c r="F65" s="2" t="n"/>
      <c r="G65" s="3">
        <f>Watchlist!F65</f>
        <v/>
      </c>
      <c r="H65" s="5">
        <f>IF(OR(B65="",G65="",G65=0),"",(B65-G65)/G65)</f>
        <v/>
      </c>
    </row>
    <row r="66">
      <c r="A66" s="2">
        <f>Watchlist!A66</f>
        <v/>
      </c>
      <c r="B66" s="3">
        <f>Watchlist!C66</f>
        <v/>
      </c>
      <c r="C66" s="3" t="n">
        <v>26.2425</v>
      </c>
      <c r="D66" s="3">
        <f>IF(OR(B66="",C66="",C66=0),"",B66-C66)</f>
        <v/>
      </c>
      <c r="E66" s="5">
        <f>IF(OR(B66="",C66="",C66=0),"",(B66-C66)/C66)</f>
        <v/>
      </c>
      <c r="F66" s="2" t="n"/>
      <c r="G66" s="3">
        <f>Watchlist!F66</f>
        <v/>
      </c>
      <c r="H66" s="5">
        <f>IF(OR(B66="",G66="",G66=0),"",(B66-G66)/G66)</f>
        <v/>
      </c>
    </row>
    <row r="67">
      <c r="A67" s="2">
        <f>Watchlist!A67</f>
        <v/>
      </c>
      <c r="B67" s="3">
        <f>Watchlist!C67</f>
        <v/>
      </c>
      <c r="C67" s="3" t="n">
        <v>68.0635</v>
      </c>
      <c r="D67" s="3">
        <f>IF(OR(B67="",C67="",C67=0),"",B67-C67)</f>
        <v/>
      </c>
      <c r="E67" s="5">
        <f>IF(OR(B67="",C67="",C67=0),"",(B67-C67)/C67)</f>
        <v/>
      </c>
      <c r="F67" s="2" t="n"/>
      <c r="G67" s="3">
        <f>Watchlist!F67</f>
        <v/>
      </c>
      <c r="H67" s="5">
        <f>IF(OR(B67="",G67="",G67=0),"",(B67-G67)/G67)</f>
        <v/>
      </c>
    </row>
    <row r="68">
      <c r="A68" s="2">
        <f>Watchlist!A68</f>
        <v/>
      </c>
      <c r="B68" s="3">
        <f>Watchlist!C68</f>
        <v/>
      </c>
      <c r="C68" s="3" t="n">
        <v>27.0825</v>
      </c>
      <c r="D68" s="3">
        <f>IF(OR(B68="",C68="",C68=0),"",B68-C68)</f>
        <v/>
      </c>
      <c r="E68" s="5">
        <f>IF(OR(B68="",C68="",C68=0),"",(B68-C68)/C68)</f>
        <v/>
      </c>
      <c r="F68" s="2" t="n"/>
      <c r="G68" s="3">
        <f>Watchlist!F68</f>
        <v/>
      </c>
      <c r="H68" s="5">
        <f>IF(OR(B68="",G68="",G68=0),"",(B68-G68)/G68)</f>
        <v/>
      </c>
    </row>
    <row r="69">
      <c r="A69" s="2">
        <f>Watchlist!A69</f>
        <v/>
      </c>
      <c r="B69" s="3">
        <f>Watchlist!C69</f>
        <v/>
      </c>
      <c r="C69" s="3" t="n">
        <v>77.67449999999999</v>
      </c>
      <c r="D69" s="3">
        <f>IF(OR(B69="",C69="",C69=0),"",B69-C69)</f>
        <v/>
      </c>
      <c r="E69" s="5">
        <f>IF(OR(B69="",C69="",C69=0),"",(B69-C69)/C69)</f>
        <v/>
      </c>
      <c r="F69" s="2" t="n"/>
      <c r="G69" s="3">
        <f>Watchlist!F69</f>
        <v/>
      </c>
      <c r="H69" s="5">
        <f>IF(OR(B69="",G69="",G69=0),"",(B69-G69)/G69)</f>
        <v/>
      </c>
    </row>
    <row r="70">
      <c r="A70" s="2">
        <f>Watchlist!A70</f>
        <v/>
      </c>
      <c r="B70" s="3">
        <f>Watchlist!C70</f>
        <v/>
      </c>
      <c r="C70" s="3" t="n">
        <v>18.182</v>
      </c>
      <c r="D70" s="3">
        <f>IF(OR(B70="",C70="",C70=0),"",B70-C70)</f>
        <v/>
      </c>
      <c r="E70" s="5">
        <f>IF(OR(B70="",C70="",C70=0),"",(B70-C70)/C70)</f>
        <v/>
      </c>
      <c r="F70" s="2" t="n"/>
      <c r="G70" s="3">
        <f>Watchlist!F70</f>
        <v/>
      </c>
      <c r="H70" s="5">
        <f>IF(OR(B70="",G70="",G70=0),"",(B70-G70)/G70)</f>
        <v/>
      </c>
    </row>
    <row r="71">
      <c r="A71" s="2">
        <f>Watchlist!A71</f>
        <v/>
      </c>
      <c r="B71" s="3">
        <f>Watchlist!C71</f>
        <v/>
      </c>
      <c r="C71" s="3" t="n">
        <v>23.524</v>
      </c>
      <c r="D71" s="3">
        <f>IF(OR(B71="",C71="",C71=0),"",B71-C71)</f>
        <v/>
      </c>
      <c r="E71" s="5">
        <f>IF(OR(B71="",C71="",C71=0),"",(B71-C71)/C71)</f>
        <v/>
      </c>
      <c r="F71" s="2" t="n"/>
      <c r="G71" s="3">
        <f>Watchlist!F71</f>
        <v/>
      </c>
      <c r="H71" s="5">
        <f>IF(OR(B71="",G71="",G71=0),"",(B71-G71)/G71)</f>
        <v/>
      </c>
    </row>
    <row r="72">
      <c r="A72" s="2">
        <f>Watchlist!A72</f>
        <v/>
      </c>
      <c r="B72" s="3">
        <f>Watchlist!C72</f>
        <v/>
      </c>
      <c r="C72" s="3" t="n">
        <v>94.6895</v>
      </c>
      <c r="D72" s="3">
        <f>IF(OR(B72="",C72="",C72=0),"",B72-C72)</f>
        <v/>
      </c>
      <c r="E72" s="5">
        <f>IF(OR(B72="",C72="",C72=0),"",(B72-C72)/C72)</f>
        <v/>
      </c>
      <c r="F72" s="2" t="n"/>
      <c r="G72" s="3">
        <f>Watchlist!F72</f>
        <v/>
      </c>
      <c r="H72" s="5">
        <f>IF(OR(B72="",G72="",G72=0),"",(B72-G72)/G72)</f>
        <v/>
      </c>
    </row>
    <row r="73">
      <c r="A73" s="2">
        <f>Watchlist!A73</f>
        <v/>
      </c>
      <c r="B73" s="3">
        <f>Watchlist!C73</f>
        <v/>
      </c>
      <c r="C73" s="3" t="n">
        <v>33.1075</v>
      </c>
      <c r="D73" s="3">
        <f>IF(OR(B73="",C73="",C73=0),"",B73-C73)</f>
        <v/>
      </c>
      <c r="E73" s="5">
        <f>IF(OR(B73="",C73="",C73=0),"",(B73-C73)/C73)</f>
        <v/>
      </c>
      <c r="F73" s="2" t="n"/>
      <c r="G73" s="3">
        <f>Watchlist!F73</f>
        <v/>
      </c>
      <c r="H73" s="5">
        <f>IF(OR(B73="",G73="",G73=0),"",(B73-G73)/G73)</f>
        <v/>
      </c>
    </row>
    <row r="74">
      <c r="A74" s="2">
        <f>Watchlist!A74</f>
        <v/>
      </c>
      <c r="B74" s="3">
        <f>Watchlist!C74</f>
        <v/>
      </c>
      <c r="C74" s="3" t="n">
        <v>116.0195</v>
      </c>
      <c r="D74" s="3">
        <f>IF(OR(B74="",C74="",C74=0),"",B74-C74)</f>
        <v/>
      </c>
      <c r="E74" s="5">
        <f>IF(OR(B74="",C74="",C74=0),"",(B74-C74)/C74)</f>
        <v/>
      </c>
      <c r="F74" s="2" t="n"/>
      <c r="G74" s="3">
        <f>Watchlist!F74</f>
        <v/>
      </c>
      <c r="H74" s="5">
        <f>IF(OR(B74="",G74="",G74=0),"",(B74-G74)/G74)</f>
        <v/>
      </c>
    </row>
    <row r="75">
      <c r="A75" s="2">
        <f>Watchlist!A75</f>
        <v/>
      </c>
      <c r="B75" s="3">
        <f>Watchlist!C75</f>
        <v/>
      </c>
      <c r="C75" s="3" t="n">
        <v>104.4525</v>
      </c>
      <c r="D75" s="3">
        <f>IF(OR(B75="",C75="",C75=0),"",B75-C75)</f>
        <v/>
      </c>
      <c r="E75" s="5">
        <f>IF(OR(B75="",C75="",C75=0),"",(B75-C75)/C75)</f>
        <v/>
      </c>
      <c r="F75" s="2" t="n"/>
      <c r="G75" s="3">
        <f>Watchlist!F75</f>
        <v/>
      </c>
      <c r="H75" s="5">
        <f>IF(OR(B75="",G75="",G75=0),"",(B75-G75)/G75)</f>
        <v/>
      </c>
    </row>
    <row r="76">
      <c r="A76" s="2">
        <f>Watchlist!A76</f>
        <v/>
      </c>
      <c r="B76" s="3">
        <f>Watchlist!C76</f>
        <v/>
      </c>
      <c r="C76" s="3" t="n">
        <v>47.6855</v>
      </c>
      <c r="D76" s="3">
        <f>IF(OR(B76="",C76="",C76=0),"",B76-C76)</f>
        <v/>
      </c>
      <c r="E76" s="5">
        <f>IF(OR(B76="",C76="",C76=0),"",(B76-C76)/C76)</f>
        <v/>
      </c>
      <c r="F76" s="2" t="n"/>
      <c r="G76" s="3">
        <f>Watchlist!F76</f>
        <v/>
      </c>
      <c r="H76" s="5">
        <f>IF(OR(B76="",G76="",G76=0),"",(B76-G76)/G76)</f>
        <v/>
      </c>
    </row>
    <row r="77">
      <c r="A77" s="2">
        <f>Watchlist!A77</f>
        <v/>
      </c>
      <c r="B77" s="3">
        <f>Watchlist!C77</f>
        <v/>
      </c>
      <c r="C77" s="3" t="n">
        <v>19.636</v>
      </c>
      <c r="D77" s="3">
        <f>IF(OR(B77="",C77="",C77=0),"",B77-C77)</f>
        <v/>
      </c>
      <c r="E77" s="5">
        <f>IF(OR(B77="",C77="",C77=0),"",(B77-C77)/C77)</f>
        <v/>
      </c>
      <c r="F77" s="2" t="n"/>
      <c r="G77" s="3">
        <f>Watchlist!F77</f>
        <v/>
      </c>
      <c r="H77" s="5">
        <f>IF(OR(B77="",G77="",G77=0),"",(B77-G77)/G77)</f>
        <v/>
      </c>
    </row>
    <row r="78">
      <c r="A78" s="2">
        <f>Watchlist!A78</f>
        <v/>
      </c>
      <c r="B78" s="3">
        <f>Watchlist!C78</f>
        <v/>
      </c>
      <c r="C78" s="3" t="n">
        <v>240.3115</v>
      </c>
      <c r="D78" s="3">
        <f>IF(OR(B78="",C78="",C78=0),"",B78-C78)</f>
        <v/>
      </c>
      <c r="E78" s="5">
        <f>IF(OR(B78="",C78="",C78=0),"",(B78-C78)/C78)</f>
        <v/>
      </c>
      <c r="F78" s="2" t="n"/>
      <c r="G78" s="3">
        <f>Watchlist!F78</f>
        <v/>
      </c>
      <c r="H78" s="5">
        <f>IF(OR(B78="",G78="",G78=0),"",(B78-G78)/G78)</f>
        <v/>
      </c>
    </row>
    <row r="79">
      <c r="A79" s="2">
        <f>Watchlist!A79</f>
        <v/>
      </c>
      <c r="B79" s="3">
        <f>Watchlist!C79</f>
        <v/>
      </c>
      <c r="C79" s="3" t="n">
        <v>11.684</v>
      </c>
      <c r="D79" s="3">
        <f>IF(OR(B79="",C79="",C79=0),"",B79-C79)</f>
        <v/>
      </c>
      <c r="E79" s="5">
        <f>IF(OR(B79="",C79="",C79=0),"",(B79-C79)/C79)</f>
        <v/>
      </c>
      <c r="F79" s="2" t="n"/>
      <c r="G79" s="3">
        <f>Watchlist!F79</f>
        <v/>
      </c>
      <c r="H79" s="5">
        <f>IF(OR(B79="",G79="",G79=0),"",(B79-G79)/G79)</f>
        <v/>
      </c>
    </row>
    <row r="80">
      <c r="A80" s="2">
        <f>Watchlist!A80</f>
        <v/>
      </c>
      <c r="B80" s="3">
        <f>Watchlist!C80</f>
        <v/>
      </c>
      <c r="C80" s="3" t="n">
        <v>23.7255</v>
      </c>
      <c r="D80" s="3">
        <f>IF(OR(B80="",C80="",C80=0),"",B80-C80)</f>
        <v/>
      </c>
      <c r="E80" s="5">
        <f>IF(OR(B80="",C80="",C80=0),"",(B80-C80)/C80)</f>
        <v/>
      </c>
      <c r="F80" s="2" t="n"/>
      <c r="G80" s="3">
        <f>Watchlist!F80</f>
        <v/>
      </c>
      <c r="H80" s="5">
        <f>IF(OR(B80="",G80="",G80=0),"",(B80-G80)/G80)</f>
        <v/>
      </c>
    </row>
    <row r="81">
      <c r="A81" s="2">
        <f>Watchlist!A81</f>
        <v/>
      </c>
      <c r="B81" s="3">
        <f>Watchlist!C81</f>
        <v/>
      </c>
      <c r="C81" s="3" t="n">
        <v>970.202</v>
      </c>
      <c r="D81" s="3">
        <f>IF(OR(B81="",C81="",C81=0),"",B81-C81)</f>
        <v/>
      </c>
      <c r="E81" s="5">
        <f>IF(OR(B81="",C81="",C81=0),"",(B81-C81)/C81)</f>
        <v/>
      </c>
      <c r="F81" s="2" t="n"/>
      <c r="G81" s="3">
        <f>Watchlist!F81</f>
        <v/>
      </c>
      <c r="H81" s="5">
        <f>IF(OR(B81="",G81="",G81=0),"",(B81-G81)/G81)</f>
        <v/>
      </c>
    </row>
    <row r="82">
      <c r="A82" s="2">
        <f>Watchlist!A82</f>
        <v/>
      </c>
      <c r="B82" s="3">
        <f>Watchlist!C82</f>
        <v/>
      </c>
      <c r="C82" s="3" t="n">
        <v>75.07550000000001</v>
      </c>
      <c r="D82" s="3">
        <f>IF(OR(B82="",C82="",C82=0),"",B82-C82)</f>
        <v/>
      </c>
      <c r="E82" s="5">
        <f>IF(OR(B82="",C82="",C82=0),"",(B82-C82)/C82)</f>
        <v/>
      </c>
      <c r="F82" s="2" t="n"/>
      <c r="G82" s="3">
        <f>Watchlist!F82</f>
        <v/>
      </c>
      <c r="H82" s="5">
        <f>IF(OR(B82="",G82="",G82=0),"",(B82-G82)/G82)</f>
        <v/>
      </c>
    </row>
    <row r="83">
      <c r="A83" s="2">
        <f>Watchlist!A83</f>
        <v/>
      </c>
      <c r="B83" s="3">
        <f>Watchlist!C83</f>
        <v/>
      </c>
      <c r="C83" s="3" t="n">
        <v>24.054</v>
      </c>
      <c r="D83" s="3">
        <f>IF(OR(B83="",C83="",C83=0),"",B83-C83)</f>
        <v/>
      </c>
      <c r="E83" s="5">
        <f>IF(OR(B83="",C83="",C83=0),"",(B83-C83)/C83)</f>
        <v/>
      </c>
      <c r="F83" s="2" t="n"/>
      <c r="G83" s="3">
        <f>Watchlist!F83</f>
        <v/>
      </c>
      <c r="H83" s="5">
        <f>IF(OR(B83="",G83="",G83=0),"",(B83-G83)/G83)</f>
        <v/>
      </c>
    </row>
    <row r="84">
      <c r="A84" s="2">
        <f>Watchlist!A84</f>
        <v/>
      </c>
      <c r="B84" s="3">
        <f>Watchlist!C84</f>
        <v/>
      </c>
      <c r="C84" s="2" t="n"/>
      <c r="D84" s="2" t="n"/>
      <c r="E84" s="2" t="n"/>
      <c r="F84" s="2" t="n"/>
      <c r="G84" s="3">
        <f>Watchlist!F84</f>
        <v/>
      </c>
      <c r="H84" s="5">
        <f>IF(OR(B84="",G84="",G84=0),"",(B84-G84)/G84)</f>
        <v/>
      </c>
    </row>
    <row r="85">
      <c r="A85" s="2">
        <f>Watchlist!A85</f>
        <v/>
      </c>
      <c r="B85" s="3">
        <f>Watchlist!C85</f>
        <v/>
      </c>
      <c r="C85" s="3" t="n">
        <v>789.7305</v>
      </c>
      <c r="D85" s="3">
        <f>IF(OR(B85="",C85="",C85=0),"",B85-C85)</f>
        <v/>
      </c>
      <c r="E85" s="5">
        <f>IF(OR(B85="",C85="",C85=0),"",(B85-C85)/C85)</f>
        <v/>
      </c>
      <c r="F85" s="2" t="n"/>
      <c r="G85" s="3">
        <f>Watchlist!F85</f>
        <v/>
      </c>
      <c r="H85" s="5">
        <f>IF(OR(B85="",G85="",G85=0),"",(B85-G85)/G85)</f>
        <v/>
      </c>
    </row>
    <row r="86">
      <c r="A86" s="2">
        <f>Watchlist!A86</f>
        <v/>
      </c>
      <c r="B86" s="3">
        <f>Watchlist!C86</f>
        <v/>
      </c>
      <c r="C86" s="3" t="n">
        <v>77.44149999999999</v>
      </c>
      <c r="D86" s="3">
        <f>IF(OR(B86="",C86="",C86=0),"",B86-C86)</f>
        <v/>
      </c>
      <c r="E86" s="5">
        <f>IF(OR(B86="",C86="",C86=0),"",(B86-C86)/C86)</f>
        <v/>
      </c>
      <c r="F86" s="2" t="n"/>
      <c r="G86" s="3">
        <f>Watchlist!F86</f>
        <v/>
      </c>
      <c r="H86" s="5">
        <f>IF(OR(B86="",G86="",G86=0),"",(B86-G86)/G86)</f>
        <v/>
      </c>
    </row>
    <row r="87">
      <c r="A87" s="2">
        <f>Watchlist!A87</f>
        <v/>
      </c>
      <c r="B87" s="3">
        <f>Watchlist!C87</f>
        <v/>
      </c>
      <c r="C87" s="3" t="n">
        <v>33.8475</v>
      </c>
      <c r="D87" s="3">
        <f>IF(OR(B87="",C87="",C87=0),"",B87-C87)</f>
        <v/>
      </c>
      <c r="E87" s="5">
        <f>IF(OR(B87="",C87="",C87=0),"",(B87-C87)/C87)</f>
        <v/>
      </c>
      <c r="F87" s="2" t="n"/>
      <c r="G87" s="3">
        <f>Watchlist!F87</f>
        <v/>
      </c>
      <c r="H87" s="5">
        <f>IF(OR(B87="",G87="",G87=0),"",(B87-G87)/G87)</f>
        <v/>
      </c>
    </row>
    <row r="88">
      <c r="A88" s="2">
        <f>Watchlist!A88</f>
        <v/>
      </c>
      <c r="B88" s="3">
        <f>Watchlist!C88</f>
        <v/>
      </c>
      <c r="C88" s="3" t="n">
        <v>11.362</v>
      </c>
      <c r="D88" s="3">
        <f>IF(OR(B88="",C88="",C88=0),"",B88-C88)</f>
        <v/>
      </c>
      <c r="E88" s="5">
        <f>IF(OR(B88="",C88="",C88=0),"",(B88-C88)/C88)</f>
        <v/>
      </c>
      <c r="F88" s="2" t="n"/>
      <c r="G88" s="3">
        <f>Watchlist!F88</f>
        <v/>
      </c>
      <c r="H88" s="5">
        <f>IF(OR(B88="",G88="",G88=0),"",(B88-G88)/G88)</f>
        <v/>
      </c>
    </row>
    <row r="89">
      <c r="A89" s="2">
        <f>Watchlist!A89</f>
        <v/>
      </c>
      <c r="B89" s="3">
        <f>Watchlist!C89</f>
        <v/>
      </c>
      <c r="C89" s="3" t="n">
        <v>21.6575</v>
      </c>
      <c r="D89" s="3">
        <f>IF(OR(B89="",C89="",C89=0),"",B89-C89)</f>
        <v/>
      </c>
      <c r="E89" s="5">
        <f>IF(OR(B89="",C89="",C89=0),"",(B89-C89)/C89)</f>
        <v/>
      </c>
      <c r="F89" s="2" t="n"/>
      <c r="G89" s="3">
        <f>Watchlist!F89</f>
        <v/>
      </c>
      <c r="H89" s="5">
        <f>IF(OR(B89="",G89="",G89=0),"",(B89-G89)/G89)</f>
        <v/>
      </c>
    </row>
    <row r="90">
      <c r="A90" s="2">
        <f>Watchlist!A90</f>
        <v/>
      </c>
      <c r="B90" s="3">
        <f>Watchlist!C90</f>
        <v/>
      </c>
      <c r="C90" s="3" t="n">
        <v>13.7435</v>
      </c>
      <c r="D90" s="3">
        <f>IF(OR(B90="",C90="",C90=0),"",B90-C90)</f>
        <v/>
      </c>
      <c r="E90" s="5">
        <f>IF(OR(B90="",C90="",C90=0),"",(B90-C90)/C90)</f>
        <v/>
      </c>
      <c r="F90" s="2" t="n"/>
      <c r="G90" s="3">
        <f>Watchlist!F90</f>
        <v/>
      </c>
      <c r="H90" s="5">
        <f>IF(OR(B90="",G90="",G90=0),"",(B90-G90)/G90)</f>
        <v/>
      </c>
    </row>
    <row r="91">
      <c r="A91" s="2">
        <f>Watchlist!A91</f>
        <v/>
      </c>
      <c r="B91" s="3">
        <f>Watchlist!C91</f>
        <v/>
      </c>
      <c r="C91" s="3" t="n">
        <v>14.096</v>
      </c>
      <c r="D91" s="3">
        <f>IF(OR(B91="",C91="",C91=0),"",B91-C91)</f>
        <v/>
      </c>
      <c r="E91" s="5">
        <f>IF(OR(B91="",C91="",C91=0),"",(B91-C91)/C91)</f>
        <v/>
      </c>
      <c r="F91" s="2" t="n"/>
      <c r="G91" s="3">
        <f>Watchlist!F91</f>
        <v/>
      </c>
      <c r="H91" s="5">
        <f>IF(OR(B91="",G91="",G91=0),"",(B91-G91)/G91)</f>
        <v/>
      </c>
    </row>
    <row r="92">
      <c r="A92" s="2">
        <f>Watchlist!A92</f>
        <v/>
      </c>
      <c r="B92" s="3">
        <f>Watchlist!C92</f>
        <v/>
      </c>
      <c r="C92" s="3" t="n">
        <v>14.096</v>
      </c>
      <c r="D92" s="3">
        <f>IF(OR(B92="",C92="",C92=0),"",B92-C92)</f>
        <v/>
      </c>
      <c r="E92" s="5">
        <f>IF(OR(B92="",C92="",C92=0),"",(B92-C92)/C92)</f>
        <v/>
      </c>
      <c r="F92" s="2" t="n"/>
      <c r="G92" s="3">
        <f>Watchlist!F92</f>
        <v/>
      </c>
      <c r="H92" s="5">
        <f>IF(OR(B92="",G92="",G92=0),"",(B92-G92)/G92)</f>
        <v/>
      </c>
    </row>
    <row r="93">
      <c r="A93" s="2">
        <f>Watchlist!A93</f>
        <v/>
      </c>
      <c r="B93" s="3">
        <f>Watchlist!C93</f>
        <v/>
      </c>
      <c r="C93" s="3" t="n">
        <v>166.527</v>
      </c>
      <c r="D93" s="3">
        <f>IF(OR(B93="",C93="",C93=0),"",B93-C93)</f>
        <v/>
      </c>
      <c r="E93" s="5">
        <f>IF(OR(B93="",C93="",C93=0),"",(B93-C93)/C93)</f>
        <v/>
      </c>
      <c r="F93" s="2" t="n"/>
      <c r="G93" s="3">
        <f>Watchlist!F93</f>
        <v/>
      </c>
      <c r="H93" s="5">
        <f>IF(OR(B93="",G93="",G93=0),"",(B93-G93)/G93)</f>
        <v/>
      </c>
    </row>
    <row r="94">
      <c r="A94" s="2">
        <f>Watchlist!A94</f>
        <v/>
      </c>
      <c r="B94" s="3">
        <f>Watchlist!C94</f>
        <v/>
      </c>
      <c r="C94" s="3" t="n">
        <v>10.2975</v>
      </c>
      <c r="D94" s="3">
        <f>IF(OR(B94="",C94="",C94=0),"",B94-C94)</f>
        <v/>
      </c>
      <c r="E94" s="5">
        <f>IF(OR(B94="",C94="",C94=0),"",(B94-C94)/C94)</f>
        <v/>
      </c>
      <c r="F94" s="2" t="n"/>
      <c r="G94" s="3">
        <f>Watchlist!F94</f>
        <v/>
      </c>
      <c r="H94" s="5">
        <f>IF(OR(B94="",G94="",G94=0),"",(B94-G94)/G94)</f>
        <v/>
      </c>
    </row>
    <row r="95">
      <c r="A95" s="2">
        <f>Watchlist!A95</f>
        <v/>
      </c>
      <c r="B95" s="3">
        <f>Watchlist!C95</f>
        <v/>
      </c>
      <c r="C95" s="3" t="n">
        <v>21.4325</v>
      </c>
      <c r="D95" s="3">
        <f>IF(OR(B95="",C95="",C95=0),"",B95-C95)</f>
        <v/>
      </c>
      <c r="E95" s="5">
        <f>IF(OR(B95="",C95="",C95=0),"",(B95-C95)/C95)</f>
        <v/>
      </c>
      <c r="F95" s="2" t="n"/>
      <c r="G95" s="3">
        <f>Watchlist!F95</f>
        <v/>
      </c>
      <c r="H95" s="5">
        <f>IF(OR(B95="",G95="",G95=0),"",(B95-G95)/G95)</f>
        <v/>
      </c>
    </row>
    <row r="96">
      <c r="A96" s="2">
        <f>Watchlist!A96</f>
        <v/>
      </c>
      <c r="B96" s="3">
        <f>Watchlist!C96</f>
        <v/>
      </c>
      <c r="C96" s="3" t="n">
        <v>33.107</v>
      </c>
      <c r="D96" s="3">
        <f>IF(OR(B96="",C96="",C96=0),"",B96-C96)</f>
        <v/>
      </c>
      <c r="E96" s="5">
        <f>IF(OR(B96="",C96="",C96=0),"",(B96-C96)/C96)</f>
        <v/>
      </c>
      <c r="F96" s="2" t="n"/>
      <c r="G96" s="3">
        <f>Watchlist!F96</f>
        <v/>
      </c>
      <c r="H96" s="5">
        <f>IF(OR(B96="",G96="",G96=0),"",(B96-G96)/G96)</f>
        <v/>
      </c>
    </row>
    <row r="97">
      <c r="A97" s="2">
        <f>Watchlist!A97</f>
        <v/>
      </c>
      <c r="B97" s="3">
        <f>Watchlist!C97</f>
        <v/>
      </c>
      <c r="C97" s="3" t="n">
        <v>33.1995</v>
      </c>
      <c r="D97" s="3">
        <f>IF(OR(B97="",C97="",C97=0),"",B97-C97)</f>
        <v/>
      </c>
      <c r="E97" s="5">
        <f>IF(OR(B97="",C97="",C97=0),"",(B97-C97)/C97)</f>
        <v/>
      </c>
      <c r="F97" s="2" t="n"/>
      <c r="G97" s="3">
        <f>Watchlist!F97</f>
        <v/>
      </c>
      <c r="H97" s="5">
        <f>IF(OR(B97="",G97="",G97=0),"",(B97-G97)/G97)</f>
        <v/>
      </c>
    </row>
    <row r="98">
      <c r="A98" s="2">
        <f>Watchlist!A98</f>
        <v/>
      </c>
      <c r="B98" s="3">
        <f>Watchlist!C98</f>
        <v/>
      </c>
      <c r="C98" s="3" t="n">
        <v>100.5665</v>
      </c>
      <c r="D98" s="3">
        <f>IF(OR(B98="",C98="",C98=0),"",B98-C98)</f>
        <v/>
      </c>
      <c r="E98" s="5">
        <f>IF(OR(B98="",C98="",C98=0),"",(B98-C98)/C98)</f>
        <v/>
      </c>
      <c r="F98" s="2" t="n"/>
      <c r="G98" s="3">
        <f>Watchlist!F98</f>
        <v/>
      </c>
      <c r="H98" s="5">
        <f>IF(OR(B98="",G98="",G98=0),"",(B98-G98)/G98)</f>
        <v/>
      </c>
    </row>
    <row r="99">
      <c r="A99" s="2">
        <f>Watchlist!A99</f>
        <v/>
      </c>
      <c r="B99" s="3">
        <f>Watchlist!C99</f>
        <v/>
      </c>
      <c r="C99" s="3" t="n">
        <v>88.8245</v>
      </c>
      <c r="D99" s="3">
        <f>IF(OR(B99="",C99="",C99=0),"",B99-C99)</f>
        <v/>
      </c>
      <c r="E99" s="5">
        <f>IF(OR(B99="",C99="",C99=0),"",(B99-C99)/C99)</f>
        <v/>
      </c>
      <c r="F99" s="2" t="n"/>
      <c r="G99" s="3">
        <f>Watchlist!F99</f>
        <v/>
      </c>
      <c r="H99" s="5">
        <f>IF(OR(B99="",G99="",G99=0),"",(B99-G99)/G99)</f>
        <v/>
      </c>
    </row>
    <row r="100">
      <c r="A100" s="2">
        <f>Watchlist!A100</f>
        <v/>
      </c>
      <c r="B100" s="3">
        <f>Watchlist!C100</f>
        <v/>
      </c>
      <c r="C100" s="3" t="n">
        <v>114.4585</v>
      </c>
      <c r="D100" s="3">
        <f>IF(OR(B100="",C100="",C100=0),"",B100-C100)</f>
        <v/>
      </c>
      <c r="E100" s="5">
        <f>IF(OR(B100="",C100="",C100=0),"",(B100-C100)/C100)</f>
        <v/>
      </c>
      <c r="F100" s="2" t="n"/>
      <c r="G100" s="3">
        <f>Watchlist!F100</f>
        <v/>
      </c>
      <c r="H100" s="5">
        <f>IF(OR(B100="",G100="",G100=0),"",(B100-G100)/G100)</f>
        <v/>
      </c>
    </row>
    <row r="101">
      <c r="A101" s="2">
        <f>Watchlist!A101</f>
        <v/>
      </c>
      <c r="B101" s="3">
        <f>Watchlist!C101</f>
        <v/>
      </c>
      <c r="C101" s="3" t="n">
        <v>78.556</v>
      </c>
      <c r="D101" s="3">
        <f>IF(OR(B101="",C101="",C101=0),"",B101-C101)</f>
        <v/>
      </c>
      <c r="E101" s="5">
        <f>IF(OR(B101="",C101="",C101=0),"",(B101-C101)/C101)</f>
        <v/>
      </c>
      <c r="F101" s="2" t="n"/>
      <c r="G101" s="3">
        <f>Watchlist!F101</f>
        <v/>
      </c>
      <c r="H101" s="5">
        <f>IF(OR(B101="",G101="",G101=0),"",(B101-G101)/G101)</f>
        <v/>
      </c>
    </row>
    <row r="102">
      <c r="A102" s="2">
        <f>Watchlist!A102</f>
        <v/>
      </c>
      <c r="B102" s="3">
        <f>Watchlist!C102</f>
        <v/>
      </c>
      <c r="C102" s="3" t="n">
        <v>34.079</v>
      </c>
      <c r="D102" s="3">
        <f>IF(OR(B102="",C102="",C102=0),"",B102-C102)</f>
        <v/>
      </c>
      <c r="E102" s="5">
        <f>IF(OR(B102="",C102="",C102=0),"",(B102-C102)/C102)</f>
        <v/>
      </c>
      <c r="F102" s="2" t="n"/>
      <c r="G102" s="3">
        <f>Watchlist!F102</f>
        <v/>
      </c>
      <c r="H102" s="5">
        <f>IF(OR(B102="",G102="",G102=0),"",(B102-G102)/G102)</f>
        <v/>
      </c>
    </row>
    <row r="103">
      <c r="A103" s="2">
        <f>Watchlist!A103</f>
        <v/>
      </c>
      <c r="B103" s="3">
        <f>Watchlist!C103</f>
        <v/>
      </c>
      <c r="C103" s="3" t="n">
        <v>32.7935</v>
      </c>
      <c r="D103" s="3">
        <f>IF(OR(B103="",C103="",C103=0),"",B103-C103)</f>
        <v/>
      </c>
      <c r="E103" s="5">
        <f>IF(OR(B103="",C103="",C103=0),"",(B103-C103)/C103)</f>
        <v/>
      </c>
      <c r="F103" s="2" t="n"/>
      <c r="G103" s="3">
        <f>Watchlist!F103</f>
        <v/>
      </c>
      <c r="H103" s="5">
        <f>IF(OR(B103="",G103="",G103=0),"",(B103-G103)/G103)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.4"/>
  <cols>
    <col width="8" customWidth="1" style="12" min="1" max="1"/>
    <col width="14" customWidth="1" style="12" min="2" max="2"/>
    <col width="12" customWidth="1" style="12" min="3" max="3"/>
    <col width="22" customWidth="1" style="12" min="4" max="4"/>
  </cols>
  <sheetData>
    <row r="1" ht="17.4" customHeight="1" s="12">
      <c r="A1" s="13" t="inlineStr">
        <is>
          <t>Top 5 - Lowest % Change 20 MA Vs CMP</t>
        </is>
      </c>
    </row>
    <row r="2">
      <c r="A2" s="11" t="inlineStr">
        <is>
          <t>Ranked by the smallest (most negative) % Change 20 MA Vs CMP from the Analysis sheet. Live formulas - updates automatically.</t>
        </is>
      </c>
    </row>
    <row r="4">
      <c r="A4" s="8" t="inlineStr">
        <is>
          <t>Rank</t>
        </is>
      </c>
      <c r="B4" s="8" t="inlineStr">
        <is>
          <t>Symbol</t>
        </is>
      </c>
      <c r="C4" s="8" t="inlineStr">
        <is>
          <t>CMP</t>
        </is>
      </c>
      <c r="D4" s="8" t="inlineStr">
        <is>
          <t>Diff in % CMP &amp; 20 DMA</t>
        </is>
      </c>
    </row>
    <row r="5">
      <c r="A5" s="2" t="n">
        <v>1</v>
      </c>
      <c r="B5" s="2">
        <f>INDEX(Analysis!$A$5:$A$103,MATCH(D5,Analysis!$E$5:$E$103,0))</f>
        <v/>
      </c>
      <c r="C5" s="3">
        <f>INDEX(Analysis!$B$5:$B$103,MATCH(D5,Analysis!$E$5:$E$103,0))</f>
        <v/>
      </c>
      <c r="D5" s="5">
        <f>SMALL(Analysis!$E$5:$E$103,1)</f>
        <v/>
      </c>
    </row>
    <row r="6">
      <c r="A6" s="2" t="n">
        <v>2</v>
      </c>
      <c r="B6" s="2">
        <f>INDEX(Analysis!$A$5:$A$103,MATCH(D6,Analysis!$E$5:$E$103,0))</f>
        <v/>
      </c>
      <c r="C6" s="3">
        <f>INDEX(Analysis!$B$5:$B$103,MATCH(D6,Analysis!$E$5:$E$103,0))</f>
        <v/>
      </c>
      <c r="D6" s="5">
        <f>SMALL(Analysis!$E$5:$E$103,2)</f>
        <v/>
      </c>
    </row>
    <row r="7">
      <c r="A7" s="2" t="n">
        <v>3</v>
      </c>
      <c r="B7" s="2">
        <f>INDEX(Analysis!$A$5:$A$103,MATCH(D7,Analysis!$E$5:$E$103,0))</f>
        <v/>
      </c>
      <c r="C7" s="3">
        <f>INDEX(Analysis!$B$5:$B$103,MATCH(D7,Analysis!$E$5:$E$103,0))</f>
        <v/>
      </c>
      <c r="D7" s="5">
        <f>SMALL(Analysis!$E$5:$E$103,3)</f>
        <v/>
      </c>
    </row>
    <row r="8">
      <c r="A8" s="2" t="n">
        <v>4</v>
      </c>
      <c r="B8" s="2">
        <f>INDEX(Analysis!$A$5:$A$103,MATCH(D8,Analysis!$E$5:$E$103,0))</f>
        <v/>
      </c>
      <c r="C8" s="3">
        <f>INDEX(Analysis!$B$5:$B$103,MATCH(D8,Analysis!$E$5:$E$103,0))</f>
        <v/>
      </c>
      <c r="D8" s="5">
        <f>SMALL(Analysis!$E$5:$E$103,4)</f>
        <v/>
      </c>
    </row>
    <row r="9">
      <c r="A9" s="2" t="n">
        <v>5</v>
      </c>
      <c r="B9" s="2">
        <f>INDEX(Analysis!$A$5:$A$103,MATCH(D9,Analysis!$E$5:$E$103,0))</f>
        <v/>
      </c>
      <c r="C9" s="3">
        <f>INDEX(Analysis!$B$5:$B$103,MATCH(D9,Analysis!$E$5:$E$103,0))</f>
        <v/>
      </c>
      <c r="D9" s="5">
        <f>SMALL(Analysis!$E$5:$E$103,5)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12" min="1" max="1"/>
    <col width="12" customWidth="1" style="12" min="2" max="2"/>
    <col width="10" customWidth="1" style="12" min="3" max="3"/>
    <col width="12" customWidth="1" style="12" min="4" max="4"/>
    <col width="11" customWidth="1" style="12" min="5" max="5"/>
    <col width="12" customWidth="1" style="12" min="6" max="6"/>
    <col width="11" customWidth="1" style="12" min="7" max="7"/>
    <col width="10" customWidth="1" style="12" min="8" max="8"/>
    <col width="11" customWidth="1" style="12" min="9" max="9"/>
    <col width="11" customWidth="1" style="12" min="10" max="10"/>
    <col width="9" customWidth="1" style="12" min="11" max="11"/>
    <col width="11" customWidth="1" style="12" min="12" max="12"/>
    <col width="12" customWidth="1" style="12" min="13" max="13"/>
    <col width="11" customWidth="1" style="12" min="14" max="14"/>
    <col width="16" customWidth="1" style="12" min="15" max="15"/>
    <col width="12" customWidth="1" style="12" min="16" max="16"/>
    <col width="14" customWidth="1" style="12" min="17" max="17"/>
    <col width="12" customWidth="1" style="12" min="18" max="18"/>
    <col width="26" customWidth="1" style="12" min="21" max="21"/>
    <col width="16" customWidth="1" style="12" min="23" max="23"/>
  </cols>
  <sheetData>
    <row r="1">
      <c r="A1" s="13" t="inlineStr">
        <is>
          <t>Backtest - Buy Most-Fallen Stock, Sell at +6% (₹1,00,000 / 60 slots)</t>
        </is>
      </c>
    </row>
    <row r="2">
      <c r="A2" s="11" t="inlineStr">
        <is>
          <t>Entry: next day's Open after signal. Exit: TARGET (day's High touches entry x 1.06) or MAX HOLD (forced exit at Close after 90 trading days). Max 60 concurrent positions, at most 1 new buy/day, unlimited sells/day. OPEN rows are marked-to-market at the last available close.</t>
        </is>
      </c>
    </row>
    <row r="4">
      <c r="A4" s="15" t="inlineStr">
        <is>
          <t>Symbol</t>
        </is>
      </c>
      <c r="B4" s="15" t="inlineStr">
        <is>
          <t>Signal Date</t>
        </is>
      </c>
      <c r="C4" s="15" t="inlineStr">
        <is>
          <t>Signal %</t>
        </is>
      </c>
      <c r="D4" s="15" t="inlineStr">
        <is>
          <t>Entry Date</t>
        </is>
      </c>
      <c r="E4" s="15" t="inlineStr">
        <is>
          <t>Entry Price</t>
        </is>
      </c>
      <c r="F4" s="15" t="inlineStr">
        <is>
          <t>Exit Date</t>
        </is>
      </c>
      <c r="G4" s="15" t="inlineStr">
        <is>
          <t>Exit Price</t>
        </is>
      </c>
      <c r="H4" s="15" t="inlineStr">
        <is>
          <t>Return %</t>
        </is>
      </c>
      <c r="I4" s="15" t="inlineStr">
        <is>
          <t>Days to +6%</t>
        </is>
      </c>
      <c r="J4" s="15" t="inlineStr">
        <is>
          <t>Days to +3%</t>
        </is>
      </c>
      <c r="K4" s="15" t="inlineStr">
        <is>
          <t>Status</t>
        </is>
      </c>
      <c r="L4" s="15" t="inlineStr">
        <is>
          <t>Exit Reason</t>
        </is>
      </c>
      <c r="M4" s="15" t="inlineStr">
        <is>
          <t>Fixed Capital</t>
        </is>
      </c>
      <c r="N4" s="15" t="inlineStr">
        <is>
          <t>Fixed P&amp;L</t>
        </is>
      </c>
      <c r="O4" s="15" t="inlineStr">
        <is>
          <t>Compound Capital Used</t>
        </is>
      </c>
      <c r="P4" s="15" t="inlineStr">
        <is>
          <t>Compound P&amp;L</t>
        </is>
      </c>
      <c r="Q4" s="15" t="inlineStr">
        <is>
          <t>Last Price (open)</t>
        </is>
      </c>
      <c r="R4" s="15" t="inlineStr">
        <is>
          <t>Unrealized %</t>
        </is>
      </c>
      <c r="U4" s="16" t="inlineStr">
        <is>
          <t>Total Capital</t>
        </is>
      </c>
      <c r="W4" s="17" t="n">
        <v>100000</v>
      </c>
    </row>
    <row r="5">
      <c r="A5" s="2" t="inlineStr">
        <is>
          <t>MAHKTECH</t>
        </is>
      </c>
      <c r="B5" s="18" t="n">
        <v>45159</v>
      </c>
      <c r="C5" s="19" t="n">
        <v>-0.06294119578422043</v>
      </c>
      <c r="D5" s="18" t="n">
        <v>45160</v>
      </c>
      <c r="E5" s="17" t="n">
        <v>14.39</v>
      </c>
      <c r="F5" s="18" t="n">
        <v>45195</v>
      </c>
      <c r="G5" s="17" t="n">
        <v>15.2534</v>
      </c>
      <c r="H5" s="19" t="n">
        <v>0.06</v>
      </c>
      <c r="I5" s="2" t="n">
        <v>24</v>
      </c>
      <c r="J5" s="2" t="n">
        <v>4</v>
      </c>
      <c r="K5" s="2" t="inlineStr">
        <is>
          <t>CLOSED</t>
        </is>
      </c>
      <c r="L5" s="2" t="inlineStr">
        <is>
          <t>TARGET</t>
        </is>
      </c>
      <c r="M5" s="17" t="n">
        <v>1666.666666666667</v>
      </c>
      <c r="N5" s="17" t="n">
        <v>100</v>
      </c>
      <c r="O5" s="17" t="n">
        <v>1666.666666666667</v>
      </c>
      <c r="P5" s="17" t="n">
        <v>100</v>
      </c>
      <c r="Q5" s="17" t="n"/>
      <c r="R5" s="19" t="n"/>
      <c r="U5" s="16" t="inlineStr">
        <is>
          <t>Slots</t>
        </is>
      </c>
      <c r="W5" s="4" t="n">
        <v>60</v>
      </c>
    </row>
    <row r="6">
      <c r="A6" s="2" t="inlineStr">
        <is>
          <t>HNGSNGBEES</t>
        </is>
      </c>
      <c r="B6" s="18" t="n">
        <v>45166</v>
      </c>
      <c r="C6" s="19" t="n">
        <v>-0.03612667531657963</v>
      </c>
      <c r="D6" s="18" t="n">
        <v>45167</v>
      </c>
      <c r="E6" s="17" t="n">
        <v>268.8</v>
      </c>
      <c r="F6" s="18" t="n">
        <v>45300</v>
      </c>
      <c r="G6" s="17" t="n">
        <v>242.97</v>
      </c>
      <c r="H6" s="19" t="n">
        <v>-0.09609375000000005</v>
      </c>
      <c r="I6" s="2" t="n"/>
      <c r="J6" s="2" t="n"/>
      <c r="K6" s="2" t="inlineStr">
        <is>
          <t>CLOSED</t>
        </is>
      </c>
      <c r="L6" s="2" t="inlineStr">
        <is>
          <t>MAX HOLD</t>
        </is>
      </c>
      <c r="M6" s="17" t="n">
        <v>1666.666666666667</v>
      </c>
      <c r="N6" s="17" t="n">
        <v>-160.1562500000001</v>
      </c>
      <c r="O6" s="17" t="n">
        <v>1666.666666666667</v>
      </c>
      <c r="P6" s="17" t="n">
        <v>-160.1562500000002</v>
      </c>
      <c r="Q6" s="17" t="n"/>
      <c r="R6" s="19" t="n"/>
      <c r="U6" s="16" t="inlineStr">
        <is>
          <t>Capital / Slot</t>
        </is>
      </c>
      <c r="W6" s="17" t="n">
        <v>1666.666666666667</v>
      </c>
    </row>
    <row r="7">
      <c r="A7" s="2" t="inlineStr">
        <is>
          <t>MAHKTECH</t>
        </is>
      </c>
      <c r="B7" s="18" t="n">
        <v>45195</v>
      </c>
      <c r="C7" s="19" t="n">
        <v>-0.03289788660146364</v>
      </c>
      <c r="D7" s="18" t="n">
        <v>45196</v>
      </c>
      <c r="E7" s="17" t="n">
        <v>14.69</v>
      </c>
      <c r="F7" s="18" t="n">
        <v>45329</v>
      </c>
      <c r="G7" s="17" t="n">
        <v>12.83</v>
      </c>
      <c r="H7" s="19" t="n">
        <v>-0.1266167460857726</v>
      </c>
      <c r="I7" s="2" t="n"/>
      <c r="J7" s="2" t="n"/>
      <c r="K7" s="2" t="inlineStr">
        <is>
          <t>CLOSED</t>
        </is>
      </c>
      <c r="L7" s="2" t="inlineStr">
        <is>
          <t>MAX HOLD</t>
        </is>
      </c>
      <c r="M7" s="17" t="n">
        <v>1666.666666666667</v>
      </c>
      <c r="N7" s="17" t="n">
        <v>-211.0279101429544</v>
      </c>
      <c r="O7" s="17" t="n">
        <v>1666.666666666667</v>
      </c>
      <c r="P7" s="17" t="n">
        <v>-211.0279101429542</v>
      </c>
      <c r="Q7" s="17" t="n"/>
      <c r="R7" s="19" t="n"/>
      <c r="U7" s="16" t="inlineStr">
        <is>
          <t>Max Hold Days</t>
        </is>
      </c>
      <c r="W7" s="4" t="n">
        <v>90</v>
      </c>
    </row>
    <row r="8">
      <c r="A8" s="2" t="inlineStr">
        <is>
          <t>PSUBNKBEES</t>
        </is>
      </c>
      <c r="B8" s="18" t="n">
        <v>45212</v>
      </c>
      <c r="C8" s="19" t="n">
        <v>-0.02268730520780743</v>
      </c>
      <c r="D8" s="18" t="n">
        <v>45215</v>
      </c>
      <c r="E8" s="17" t="n">
        <v>56.14</v>
      </c>
      <c r="F8" s="18" t="n">
        <v>45265</v>
      </c>
      <c r="G8" s="17" t="n">
        <v>59.5084</v>
      </c>
      <c r="H8" s="19" t="n">
        <v>0.06</v>
      </c>
      <c r="I8" s="2" t="n">
        <v>34</v>
      </c>
      <c r="J8" s="2" t="n">
        <v>21</v>
      </c>
      <c r="K8" s="2" t="inlineStr">
        <is>
          <t>CLOSED</t>
        </is>
      </c>
      <c r="L8" s="2" t="inlineStr">
        <is>
          <t>TARGET</t>
        </is>
      </c>
      <c r="M8" s="17" t="n">
        <v>1666.666666666667</v>
      </c>
      <c r="N8" s="17" t="n">
        <v>100</v>
      </c>
      <c r="O8" s="17" t="n">
        <v>1666.666666666667</v>
      </c>
      <c r="P8" s="17" t="n">
        <v>100</v>
      </c>
      <c r="Q8" s="17" t="n"/>
      <c r="R8" s="19" t="n"/>
      <c r="U8" s="16" t="inlineStr">
        <is>
          <t>Entry Threshold</t>
        </is>
      </c>
      <c r="W8" s="19" t="n">
        <v>-0.02</v>
      </c>
    </row>
    <row r="9">
      <c r="A9" s="2" t="inlineStr">
        <is>
          <t>PSUBNKIETF</t>
        </is>
      </c>
      <c r="B9" s="18" t="n">
        <v>45217</v>
      </c>
      <c r="C9" s="19" t="n">
        <v>-0.02508601331881301</v>
      </c>
      <c r="D9" s="18" t="n">
        <v>45218</v>
      </c>
      <c r="E9" s="17" t="n">
        <v>50.98</v>
      </c>
      <c r="F9" s="18" t="n">
        <v>45265</v>
      </c>
      <c r="G9" s="17" t="n">
        <v>54.0388</v>
      </c>
      <c r="H9" s="19" t="n">
        <v>0.06</v>
      </c>
      <c r="I9" s="2" t="n">
        <v>31</v>
      </c>
      <c r="J9" s="2" t="n">
        <v>18</v>
      </c>
      <c r="K9" s="2" t="inlineStr">
        <is>
          <t>CLOSED</t>
        </is>
      </c>
      <c r="L9" s="2" t="inlineStr">
        <is>
          <t>TARGET</t>
        </is>
      </c>
      <c r="M9" s="17" t="n">
        <v>1666.666666666667</v>
      </c>
      <c r="N9" s="17" t="n">
        <v>100</v>
      </c>
      <c r="O9" s="17" t="n">
        <v>1666.666666666667</v>
      </c>
      <c r="P9" s="17" t="n">
        <v>100</v>
      </c>
      <c r="Q9" s="17" t="n"/>
      <c r="R9" s="19" t="n"/>
      <c r="U9" s="16" t="inlineStr">
        <is>
          <t>Total Trades</t>
        </is>
      </c>
      <c r="W9" s="4" t="n">
        <v>109</v>
      </c>
    </row>
    <row r="10">
      <c r="A10" s="2" t="inlineStr">
        <is>
          <t>HDFCLOWVOL</t>
        </is>
      </c>
      <c r="B10" s="18" t="n">
        <v>45222</v>
      </c>
      <c r="C10" s="19" t="n">
        <v>-0.09486047977703302</v>
      </c>
      <c r="D10" s="18" t="n">
        <v>45224</v>
      </c>
      <c r="E10" s="17" t="n">
        <v>14.7</v>
      </c>
      <c r="F10" s="18" t="n">
        <v>45238</v>
      </c>
      <c r="G10" s="17" t="n">
        <v>15.582</v>
      </c>
      <c r="H10" s="19" t="n">
        <v>0.06</v>
      </c>
      <c r="I10" s="2" t="n">
        <v>10</v>
      </c>
      <c r="J10" s="2" t="n">
        <v>0</v>
      </c>
      <c r="K10" s="2" t="inlineStr">
        <is>
          <t>CLOSED</t>
        </is>
      </c>
      <c r="L10" s="2" t="inlineStr">
        <is>
          <t>TARGET</t>
        </is>
      </c>
      <c r="M10" s="17" t="n">
        <v>1666.666666666667</v>
      </c>
      <c r="N10" s="17" t="n">
        <v>100</v>
      </c>
      <c r="O10" s="17" t="n">
        <v>1666.666666666667</v>
      </c>
      <c r="P10" s="17" t="n">
        <v>100</v>
      </c>
      <c r="Q10" s="17" t="n"/>
      <c r="R10" s="19" t="n"/>
      <c r="U10" s="16" t="inlineStr">
        <is>
          <t>Closed / Open</t>
        </is>
      </c>
      <c r="W10" s="2" t="inlineStr">
        <is>
          <t>103 / 6</t>
        </is>
      </c>
    </row>
    <row r="11">
      <c r="A11" s="2" t="inlineStr">
        <is>
          <t>MIDCAP</t>
        </is>
      </c>
      <c r="B11" s="18" t="n">
        <v>45226</v>
      </c>
      <c r="C11" s="19" t="n">
        <v>-0.03512557176145681</v>
      </c>
      <c r="D11" s="18" t="n">
        <v>45229</v>
      </c>
      <c r="E11" s="17" t="n">
        <v>11.3</v>
      </c>
      <c r="F11" s="18" t="n">
        <v>45246</v>
      </c>
      <c r="G11" s="17" t="n">
        <v>11.978</v>
      </c>
      <c r="H11" s="19" t="n">
        <v>0.06</v>
      </c>
      <c r="I11" s="2" t="n">
        <v>13</v>
      </c>
      <c r="J11" s="2" t="n">
        <v>8</v>
      </c>
      <c r="K11" s="2" t="inlineStr">
        <is>
          <t>CLOSED</t>
        </is>
      </c>
      <c r="L11" s="2" t="inlineStr">
        <is>
          <t>TARGET</t>
        </is>
      </c>
      <c r="M11" s="17" t="n">
        <v>1666.666666666667</v>
      </c>
      <c r="N11" s="17" t="n">
        <v>100</v>
      </c>
      <c r="O11" s="17" t="n">
        <v>1666.666666666667</v>
      </c>
      <c r="P11" s="17" t="n">
        <v>100</v>
      </c>
      <c r="Q11" s="17" t="n"/>
      <c r="R11" s="19" t="n"/>
      <c r="U11" s="16" t="inlineStr">
        <is>
          <t>Exits: Target / Max Hold</t>
        </is>
      </c>
      <c r="W11" s="2" t="inlineStr">
        <is>
          <t>75 / 28</t>
        </is>
      </c>
    </row>
    <row r="12">
      <c r="A12" s="2" t="inlineStr">
        <is>
          <t>HDFCNIFIT</t>
        </is>
      </c>
      <c r="B12" s="18" t="n">
        <v>45230</v>
      </c>
      <c r="C12" s="19" t="n">
        <v>-0.03017039237142421</v>
      </c>
      <c r="D12" s="18" t="n">
        <v>45231</v>
      </c>
      <c r="E12" s="17" t="n">
        <v>30.61</v>
      </c>
      <c r="F12" s="18" t="n">
        <v>45239</v>
      </c>
      <c r="G12" s="17" t="n">
        <v>32.4466</v>
      </c>
      <c r="H12" s="19" t="n">
        <v>0.06</v>
      </c>
      <c r="I12" s="2" t="n">
        <v>6</v>
      </c>
      <c r="J12" s="2" t="n">
        <v>4</v>
      </c>
      <c r="K12" s="2" t="inlineStr">
        <is>
          <t>CLOSED</t>
        </is>
      </c>
      <c r="L12" s="2" t="inlineStr">
        <is>
          <t>TARGET</t>
        </is>
      </c>
      <c r="M12" s="17" t="n">
        <v>1666.666666666667</v>
      </c>
      <c r="N12" s="17" t="n">
        <v>100</v>
      </c>
      <c r="O12" s="17" t="n">
        <v>1666.666666666667</v>
      </c>
      <c r="P12" s="17" t="n">
        <v>100</v>
      </c>
      <c r="Q12" s="17" t="n"/>
      <c r="R12" s="19" t="n"/>
      <c r="U12" s="16" t="inlineStr">
        <is>
          <t>Fixed - Realized Profit</t>
        </is>
      </c>
      <c r="W12" s="17" t="n">
        <v>3534.185295312208</v>
      </c>
    </row>
    <row r="13">
      <c r="A13" s="2" t="inlineStr">
        <is>
          <t>PVTBANKADD</t>
        </is>
      </c>
      <c r="B13" s="18" t="n">
        <v>45231</v>
      </c>
      <c r="C13" s="19" t="n">
        <v>-0.03410581547879308</v>
      </c>
      <c r="D13" s="18" t="n">
        <v>45232</v>
      </c>
      <c r="E13" s="17" t="n">
        <v>22.35</v>
      </c>
      <c r="F13" s="18" t="n">
        <v>45264</v>
      </c>
      <c r="G13" s="17" t="n">
        <v>23.691</v>
      </c>
      <c r="H13" s="19" t="n">
        <v>0.06</v>
      </c>
      <c r="I13" s="2" t="n">
        <v>21</v>
      </c>
      <c r="J13" s="2" t="n">
        <v>2</v>
      </c>
      <c r="K13" s="2" t="inlineStr">
        <is>
          <t>CLOSED</t>
        </is>
      </c>
      <c r="L13" s="2" t="inlineStr">
        <is>
          <t>TARGET</t>
        </is>
      </c>
      <c r="M13" s="17" t="n">
        <v>1666.666666666667</v>
      </c>
      <c r="N13" s="17" t="n">
        <v>100</v>
      </c>
      <c r="O13" s="17" t="n">
        <v>1666.666666666667</v>
      </c>
      <c r="P13" s="17" t="n">
        <v>100</v>
      </c>
      <c r="Q13" s="17" t="n"/>
      <c r="R13" s="19" t="n"/>
      <c r="U13" s="16" t="inlineStr">
        <is>
          <t>Fixed - Unrealized P&amp;L</t>
        </is>
      </c>
      <c r="W13" s="17" t="n">
        <v>-270.7236303566608</v>
      </c>
    </row>
    <row r="14">
      <c r="A14" s="2" t="inlineStr">
        <is>
          <t>HNGSNGBEES</t>
        </is>
      </c>
      <c r="B14" s="18" t="n">
        <v>45306</v>
      </c>
      <c r="C14" s="19" t="n">
        <v>-0.02889230937707223</v>
      </c>
      <c r="D14" s="18" t="n">
        <v>45307</v>
      </c>
      <c r="E14" s="17" t="n">
        <v>239.51</v>
      </c>
      <c r="F14" s="18" t="n">
        <v>45351</v>
      </c>
      <c r="G14" s="17" t="n">
        <v>253.8806</v>
      </c>
      <c r="H14" s="19" t="n">
        <v>0.06</v>
      </c>
      <c r="I14" s="2" t="n">
        <v>31</v>
      </c>
      <c r="J14" s="2" t="n">
        <v>26</v>
      </c>
      <c r="K14" s="2" t="inlineStr">
        <is>
          <t>CLOSED</t>
        </is>
      </c>
      <c r="L14" s="2" t="inlineStr">
        <is>
          <t>TARGET</t>
        </is>
      </c>
      <c r="M14" s="17" t="n">
        <v>1666.666666666667</v>
      </c>
      <c r="N14" s="17" t="n">
        <v>100</v>
      </c>
      <c r="O14" s="17" t="n">
        <v>1666.666666666667</v>
      </c>
      <c r="P14" s="17" t="n">
        <v>100</v>
      </c>
      <c r="Q14" s="17" t="n"/>
      <c r="R14" s="19" t="n"/>
      <c r="U14" s="16" t="inlineStr">
        <is>
          <t>Fixed - Ending Value</t>
        </is>
      </c>
      <c r="W14" s="17" t="n">
        <v>103263.4616649556</v>
      </c>
    </row>
    <row r="15">
      <c r="A15" s="2" t="inlineStr">
        <is>
          <t>PVTBANIETF</t>
        </is>
      </c>
      <c r="B15" s="18" t="n">
        <v>45315</v>
      </c>
      <c r="C15" s="19" t="n">
        <v>-0.05246252676659519</v>
      </c>
      <c r="D15" s="18" t="n">
        <v>45316</v>
      </c>
      <c r="E15" s="17" t="n">
        <v>23.39</v>
      </c>
      <c r="F15" s="18" t="n">
        <v>45398</v>
      </c>
      <c r="G15" s="17" t="n">
        <v>24.7934</v>
      </c>
      <c r="H15" s="19" t="n">
        <v>0.06</v>
      </c>
      <c r="I15" s="2" t="n">
        <v>54</v>
      </c>
      <c r="J15" s="2" t="n">
        <v>8</v>
      </c>
      <c r="K15" s="2" t="inlineStr">
        <is>
          <t>CLOSED</t>
        </is>
      </c>
      <c r="L15" s="2" t="inlineStr">
        <is>
          <t>TARGET</t>
        </is>
      </c>
      <c r="M15" s="17" t="n">
        <v>1666.666666666667</v>
      </c>
      <c r="N15" s="17" t="n">
        <v>100</v>
      </c>
      <c r="O15" s="17" t="n">
        <v>1666.666666666667</v>
      </c>
      <c r="P15" s="17" t="n">
        <v>100</v>
      </c>
      <c r="Q15" s="17" t="n"/>
      <c r="R15" s="19" t="n"/>
      <c r="U15" s="16" t="inlineStr">
        <is>
          <t>Fixed - Max Drawdown</t>
        </is>
      </c>
      <c r="W15" s="19" t="n">
        <v>0.03190792595739018</v>
      </c>
    </row>
    <row r="16">
      <c r="A16" s="2" t="inlineStr">
        <is>
          <t>HDFCPVTBAN</t>
        </is>
      </c>
      <c r="B16" s="18" t="n">
        <v>45320</v>
      </c>
      <c r="C16" s="19" t="n">
        <v>-0.03497794645604674</v>
      </c>
      <c r="D16" s="18" t="n">
        <v>45321</v>
      </c>
      <c r="E16" s="17" t="n">
        <v>24.37</v>
      </c>
      <c r="F16" s="18" t="n">
        <v>45324</v>
      </c>
      <c r="G16" s="17" t="n">
        <v>25.8322</v>
      </c>
      <c r="H16" s="19" t="n">
        <v>0.06</v>
      </c>
      <c r="I16" s="2" t="n">
        <v>3</v>
      </c>
      <c r="J16" s="2" t="n">
        <v>3</v>
      </c>
      <c r="K16" s="2" t="inlineStr">
        <is>
          <t>CLOSED</t>
        </is>
      </c>
      <c r="L16" s="2" t="inlineStr">
        <is>
          <t>TARGET</t>
        </is>
      </c>
      <c r="M16" s="17" t="n">
        <v>1666.666666666667</v>
      </c>
      <c r="N16" s="17" t="n">
        <v>100</v>
      </c>
      <c r="O16" s="17" t="n">
        <v>1666.666666666667</v>
      </c>
      <c r="P16" s="17" t="n">
        <v>100</v>
      </c>
      <c r="Q16" s="17" t="n"/>
      <c r="R16" s="19" t="n"/>
      <c r="U16" s="16" t="inlineStr">
        <is>
          <t>Compounding - Realized Profit</t>
        </is>
      </c>
      <c r="W16" s="17" t="n">
        <v>3501.606026203884</v>
      </c>
    </row>
    <row r="17">
      <c r="A17" s="2" t="inlineStr">
        <is>
          <t>PVTBANKADD</t>
        </is>
      </c>
      <c r="B17" s="18" t="n">
        <v>45321</v>
      </c>
      <c r="C17" s="19" t="n">
        <v>-0.03275744628150342</v>
      </c>
      <c r="D17" s="18" t="n">
        <v>45322</v>
      </c>
      <c r="E17" s="17" t="n">
        <v>23.44</v>
      </c>
      <c r="F17" s="18" t="n">
        <v>45397</v>
      </c>
      <c r="G17" s="17" t="n">
        <v>24.8464</v>
      </c>
      <c r="H17" s="19" t="n">
        <v>0.06</v>
      </c>
      <c r="I17" s="2" t="n">
        <v>50</v>
      </c>
      <c r="J17" s="2" t="n">
        <v>44</v>
      </c>
      <c r="K17" s="2" t="inlineStr">
        <is>
          <t>CLOSED</t>
        </is>
      </c>
      <c r="L17" s="2" t="inlineStr">
        <is>
          <t>TARGET</t>
        </is>
      </c>
      <c r="M17" s="17" t="n">
        <v>1666.666666666667</v>
      </c>
      <c r="N17" s="17" t="n">
        <v>100</v>
      </c>
      <c r="O17" s="17" t="n">
        <v>1666.666666666667</v>
      </c>
      <c r="P17" s="17" t="n">
        <v>100</v>
      </c>
      <c r="Q17" s="17" t="n"/>
      <c r="R17" s="19" t="n"/>
      <c r="U17" s="16" t="inlineStr">
        <is>
          <t>Compounding - Unrealized P&amp;L</t>
        </is>
      </c>
      <c r="W17" s="17" t="n">
        <v>-262.3901814564833</v>
      </c>
    </row>
    <row r="18">
      <c r="A18" s="2" t="inlineStr">
        <is>
          <t>HDFCPVTBAN</t>
        </is>
      </c>
      <c r="B18" s="18" t="n">
        <v>45324</v>
      </c>
      <c r="C18" s="19" t="n">
        <v>-0.0219531914011484</v>
      </c>
      <c r="D18" s="18" t="n">
        <v>45327</v>
      </c>
      <c r="E18" s="17" t="n">
        <v>24.71</v>
      </c>
      <c r="F18" s="18" t="n">
        <v>45461</v>
      </c>
      <c r="G18" s="17" t="n">
        <v>25.18</v>
      </c>
      <c r="H18" s="19" t="n">
        <v>0.01902063941723994</v>
      </c>
      <c r="I18" s="2" t="n"/>
      <c r="J18" s="2" t="n">
        <v>81</v>
      </c>
      <c r="K18" s="2" t="inlineStr">
        <is>
          <t>CLOSED</t>
        </is>
      </c>
      <c r="L18" s="2" t="inlineStr">
        <is>
          <t>MAX HOLD</t>
        </is>
      </c>
      <c r="M18" s="17" t="n">
        <v>1666.666666666667</v>
      </c>
      <c r="N18" s="17" t="n">
        <v>31.70106569539989</v>
      </c>
      <c r="O18" s="17" t="n">
        <v>1666.666666666667</v>
      </c>
      <c r="P18" s="17" t="n">
        <v>31.70106569539985</v>
      </c>
      <c r="Q18" s="17" t="n"/>
      <c r="R18" s="19" t="n"/>
      <c r="U18" s="16" t="inlineStr">
        <is>
          <t>Compounding - Ending Value</t>
        </is>
      </c>
      <c r="W18" s="17" t="n">
        <v>103239.2158447474</v>
      </c>
    </row>
    <row r="19">
      <c r="A19" s="2" t="inlineStr">
        <is>
          <t>FMCGIETF</t>
        </is>
      </c>
      <c r="B19" s="18" t="n">
        <v>45335</v>
      </c>
      <c r="C19" s="19" t="n">
        <v>-0.02491665204421819</v>
      </c>
      <c r="D19" s="18" t="n">
        <v>45336</v>
      </c>
      <c r="E19" s="17" t="n">
        <v>55.5</v>
      </c>
      <c r="F19" s="18" t="n">
        <v>45422</v>
      </c>
      <c r="G19" s="17" t="n">
        <v>58.83000000000001</v>
      </c>
      <c r="H19" s="19" t="n">
        <v>0.06</v>
      </c>
      <c r="I19" s="2" t="n">
        <v>57</v>
      </c>
      <c r="J19" s="2" t="n">
        <v>54</v>
      </c>
      <c r="K19" s="2" t="inlineStr">
        <is>
          <t>CLOSED</t>
        </is>
      </c>
      <c r="L19" s="2" t="inlineStr">
        <is>
          <t>TARGET</t>
        </is>
      </c>
      <c r="M19" s="17" t="n">
        <v>1666.666666666667</v>
      </c>
      <c r="N19" s="17" t="n">
        <v>100</v>
      </c>
      <c r="O19" s="17" t="n">
        <v>1666.666666666667</v>
      </c>
      <c r="P19" s="17" t="n">
        <v>100</v>
      </c>
      <c r="Q19" s="17" t="n"/>
      <c r="R19" s="19" t="n"/>
      <c r="U19" s="16" t="inlineStr">
        <is>
          <t>Compounding - Max Drawdown</t>
        </is>
      </c>
      <c r="W19" s="19" t="n">
        <v>0.03190792595739018</v>
      </c>
    </row>
    <row r="20">
      <c r="A20" s="2" t="inlineStr">
        <is>
          <t>MOVALUE</t>
        </is>
      </c>
      <c r="B20" s="18" t="n">
        <v>45350</v>
      </c>
      <c r="C20" s="19" t="n">
        <v>-0.0213164726031086</v>
      </c>
      <c r="D20" s="18" t="n">
        <v>45351</v>
      </c>
      <c r="E20" s="17" t="n">
        <v>93.05</v>
      </c>
      <c r="F20" s="18" t="n">
        <v>45407</v>
      </c>
      <c r="G20" s="17" t="n">
        <v>98.633</v>
      </c>
      <c r="H20" s="19" t="n">
        <v>0.06</v>
      </c>
      <c r="I20" s="2" t="n">
        <v>36</v>
      </c>
      <c r="J20" s="2" t="n">
        <v>4</v>
      </c>
      <c r="K20" s="2" t="inlineStr">
        <is>
          <t>CLOSED</t>
        </is>
      </c>
      <c r="L20" s="2" t="inlineStr">
        <is>
          <t>TARGET</t>
        </is>
      </c>
      <c r="M20" s="17" t="n">
        <v>1666.666666666667</v>
      </c>
      <c r="N20" s="17" t="n">
        <v>100</v>
      </c>
      <c r="O20" s="17" t="n">
        <v>1666.666666666667</v>
      </c>
      <c r="P20" s="17" t="n">
        <v>100</v>
      </c>
      <c r="Q20" s="17" t="n"/>
      <c r="R20" s="19" t="n"/>
    </row>
    <row r="21">
      <c r="A21" s="2" t="inlineStr">
        <is>
          <t>ITIETF</t>
        </is>
      </c>
      <c r="B21" s="18" t="n">
        <v>45356</v>
      </c>
      <c r="C21" s="19" t="n">
        <v>-0.0269161496898139</v>
      </c>
      <c r="D21" s="18" t="n">
        <v>45357</v>
      </c>
      <c r="E21" s="17" t="n">
        <v>40.5</v>
      </c>
      <c r="F21" s="18" t="n">
        <v>45492</v>
      </c>
      <c r="G21" s="17" t="n">
        <v>42.93</v>
      </c>
      <c r="H21" s="19" t="n">
        <v>0.06</v>
      </c>
      <c r="I21" s="2" t="n">
        <v>89</v>
      </c>
      <c r="J21" s="2" t="n">
        <v>85</v>
      </c>
      <c r="K21" s="2" t="inlineStr">
        <is>
          <t>CLOSED</t>
        </is>
      </c>
      <c r="L21" s="2" t="inlineStr">
        <is>
          <t>TARGET</t>
        </is>
      </c>
      <c r="M21" s="17" t="n">
        <v>1666.666666666667</v>
      </c>
      <c r="N21" s="17" t="n">
        <v>100</v>
      </c>
      <c r="O21" s="17" t="n">
        <v>1666.666666666667</v>
      </c>
      <c r="P21" s="17" t="n">
        <v>100</v>
      </c>
      <c r="Q21" s="17" t="n"/>
      <c r="R21" s="19" t="n"/>
    </row>
    <row r="22">
      <c r="A22" s="2" t="inlineStr">
        <is>
          <t>HDFCSML250</t>
        </is>
      </c>
      <c r="B22" s="18" t="n">
        <v>45362</v>
      </c>
      <c r="C22" s="19" t="n">
        <v>-0.02934177114216193</v>
      </c>
      <c r="D22" s="18" t="n">
        <v>45363</v>
      </c>
      <c r="E22" s="17" t="n">
        <v>147.2</v>
      </c>
      <c r="F22" s="18" t="n">
        <v>45397</v>
      </c>
      <c r="G22" s="17" t="n">
        <v>156.032</v>
      </c>
      <c r="H22" s="19" t="n">
        <v>0.06</v>
      </c>
      <c r="I22" s="2" t="n">
        <v>21</v>
      </c>
      <c r="J22" s="2" t="n">
        <v>15</v>
      </c>
      <c r="K22" s="2" t="inlineStr">
        <is>
          <t>CLOSED</t>
        </is>
      </c>
      <c r="L22" s="2" t="inlineStr">
        <is>
          <t>TARGET</t>
        </is>
      </c>
      <c r="M22" s="17" t="n">
        <v>1666.666666666667</v>
      </c>
      <c r="N22" s="17" t="n">
        <v>100</v>
      </c>
      <c r="O22" s="17" t="n">
        <v>1666.666666666667</v>
      </c>
      <c r="P22" s="17" t="n">
        <v>100</v>
      </c>
      <c r="Q22" s="17" t="n"/>
      <c r="R22" s="19" t="n"/>
    </row>
    <row r="23">
      <c r="A23" s="2" t="inlineStr">
        <is>
          <t>CPSEETF</t>
        </is>
      </c>
      <c r="B23" s="18" t="n">
        <v>45366</v>
      </c>
      <c r="C23" s="19" t="n">
        <v>-0.05858695518079418</v>
      </c>
      <c r="D23" s="18" t="n">
        <v>45369</v>
      </c>
      <c r="E23" s="17" t="n">
        <v>78.59999999999999</v>
      </c>
      <c r="F23" s="18" t="n">
        <v>45385</v>
      </c>
      <c r="G23" s="17" t="n">
        <v>83.316</v>
      </c>
      <c r="H23" s="19" t="n">
        <v>0.06</v>
      </c>
      <c r="I23" s="2" t="n">
        <v>10</v>
      </c>
      <c r="J23" s="2" t="n">
        <v>8</v>
      </c>
      <c r="K23" s="2" t="inlineStr">
        <is>
          <t>CLOSED</t>
        </is>
      </c>
      <c r="L23" s="2" t="inlineStr">
        <is>
          <t>TARGET</t>
        </is>
      </c>
      <c r="M23" s="17" t="n">
        <v>1666.666666666667</v>
      </c>
      <c r="N23" s="17" t="n">
        <v>100</v>
      </c>
      <c r="O23" s="17" t="n">
        <v>1666.666666666667</v>
      </c>
      <c r="P23" s="17" t="n">
        <v>100</v>
      </c>
      <c r="Q23" s="17" t="n"/>
      <c r="R23" s="19" t="n"/>
    </row>
    <row r="24">
      <c r="A24" s="2" t="inlineStr">
        <is>
          <t>HDFCNIFIT</t>
        </is>
      </c>
      <c r="B24" s="18" t="n">
        <v>45373</v>
      </c>
      <c r="C24" s="19" t="n">
        <v>-0.0474800673927751</v>
      </c>
      <c r="D24" s="18" t="n">
        <v>45377</v>
      </c>
      <c r="E24" s="17" t="n">
        <v>36.5</v>
      </c>
      <c r="F24" s="18" t="n">
        <v>45477</v>
      </c>
      <c r="G24" s="17" t="n">
        <v>38.69</v>
      </c>
      <c r="H24" s="19" t="n">
        <v>0.06</v>
      </c>
      <c r="I24" s="2" t="n">
        <v>67</v>
      </c>
      <c r="J24" s="2" t="n">
        <v>2</v>
      </c>
      <c r="K24" s="2" t="inlineStr">
        <is>
          <t>CLOSED</t>
        </is>
      </c>
      <c r="L24" s="2" t="inlineStr">
        <is>
          <t>TARGET</t>
        </is>
      </c>
      <c r="M24" s="17" t="n">
        <v>1666.666666666667</v>
      </c>
      <c r="N24" s="17" t="n">
        <v>100</v>
      </c>
      <c r="O24" s="17" t="n">
        <v>1666.666666666667</v>
      </c>
      <c r="P24" s="17" t="n">
        <v>100</v>
      </c>
      <c r="Q24" s="17" t="n"/>
      <c r="R24" s="19" t="n"/>
    </row>
    <row r="25">
      <c r="A25" s="2" t="inlineStr">
        <is>
          <t>MON100</t>
        </is>
      </c>
      <c r="B25" s="18" t="n">
        <v>45404</v>
      </c>
      <c r="C25" s="19" t="n">
        <v>-0.03901663031717331</v>
      </c>
      <c r="D25" s="18" t="n">
        <v>45405</v>
      </c>
      <c r="E25" s="17" t="n">
        <v>141.66</v>
      </c>
      <c r="F25" s="18" t="n">
        <v>45422</v>
      </c>
      <c r="G25" s="17" t="n">
        <v>150.1596</v>
      </c>
      <c r="H25" s="19" t="n">
        <v>0.06</v>
      </c>
      <c r="I25" s="2" t="n">
        <v>12</v>
      </c>
      <c r="J25" s="2" t="n">
        <v>3</v>
      </c>
      <c r="K25" s="2" t="inlineStr">
        <is>
          <t>CLOSED</t>
        </is>
      </c>
      <c r="L25" s="2" t="inlineStr">
        <is>
          <t>TARGET</t>
        </is>
      </c>
      <c r="M25" s="17" t="n">
        <v>1666.666666666667</v>
      </c>
      <c r="N25" s="17" t="n">
        <v>100</v>
      </c>
      <c r="O25" s="17" t="n">
        <v>1666.666666666667</v>
      </c>
      <c r="P25" s="17" t="n">
        <v>100</v>
      </c>
      <c r="Q25" s="17" t="n"/>
      <c r="R25" s="19" t="n"/>
    </row>
    <row r="26">
      <c r="A26" s="2" t="inlineStr">
        <is>
          <t>PSUBNKIETF</t>
        </is>
      </c>
      <c r="B26" s="18" t="n">
        <v>45419</v>
      </c>
      <c r="C26" s="19" t="n">
        <v>-0.02281606393716147</v>
      </c>
      <c r="D26" s="18" t="n">
        <v>45420</v>
      </c>
      <c r="E26" s="17" t="n">
        <v>72.18000000000001</v>
      </c>
      <c r="F26" s="18" t="n">
        <v>45446</v>
      </c>
      <c r="G26" s="17" t="n">
        <v>76.51080000000002</v>
      </c>
      <c r="H26" s="19" t="n">
        <v>0.06</v>
      </c>
      <c r="I26" s="2" t="n">
        <v>18</v>
      </c>
      <c r="J26" s="2" t="n">
        <v>11</v>
      </c>
      <c r="K26" s="2" t="inlineStr">
        <is>
          <t>CLOSED</t>
        </is>
      </c>
      <c r="L26" s="2" t="inlineStr">
        <is>
          <t>TARGET</t>
        </is>
      </c>
      <c r="M26" s="17" t="n">
        <v>1666.666666666667</v>
      </c>
      <c r="N26" s="17" t="n">
        <v>100</v>
      </c>
      <c r="O26" s="17" t="n">
        <v>1666.666666666667</v>
      </c>
      <c r="P26" s="17" t="n">
        <v>100</v>
      </c>
      <c r="Q26" s="17" t="n"/>
      <c r="R26" s="19" t="n"/>
    </row>
    <row r="27">
      <c r="A27" s="2" t="inlineStr">
        <is>
          <t>FINIETF</t>
        </is>
      </c>
      <c r="B27" s="18" t="n">
        <v>45421</v>
      </c>
      <c r="C27" s="19" t="n">
        <v>-0.03516949152542381</v>
      </c>
      <c r="D27" s="18" t="n">
        <v>45422</v>
      </c>
      <c r="E27" s="17" t="n">
        <v>23.12</v>
      </c>
      <c r="F27" s="18" t="n">
        <v>45456</v>
      </c>
      <c r="G27" s="17" t="n">
        <v>24.5072</v>
      </c>
      <c r="H27" s="19" t="n">
        <v>0.06</v>
      </c>
      <c r="I27" s="2" t="n">
        <v>24</v>
      </c>
      <c r="J27" s="2" t="n">
        <v>10</v>
      </c>
      <c r="K27" s="2" t="inlineStr">
        <is>
          <t>CLOSED</t>
        </is>
      </c>
      <c r="L27" s="2" t="inlineStr">
        <is>
          <t>TARGET</t>
        </is>
      </c>
      <c r="M27" s="17" t="n">
        <v>1666.666666666667</v>
      </c>
      <c r="N27" s="17" t="n">
        <v>100</v>
      </c>
      <c r="O27" s="17" t="n">
        <v>1666.666666666667</v>
      </c>
      <c r="P27" s="17" t="n">
        <v>100</v>
      </c>
      <c r="Q27" s="17" t="n"/>
      <c r="R27" s="19" t="n"/>
    </row>
    <row r="28">
      <c r="A28" s="2" t="inlineStr">
        <is>
          <t>SMALLCAP</t>
        </is>
      </c>
      <c r="B28" s="18" t="n">
        <v>45422</v>
      </c>
      <c r="C28" s="19" t="n">
        <v>-0.02870043315294292</v>
      </c>
      <c r="D28" s="18" t="n">
        <v>45425</v>
      </c>
      <c r="E28" s="17" t="n">
        <v>45.75</v>
      </c>
      <c r="F28" s="18" t="n">
        <v>45453</v>
      </c>
      <c r="G28" s="17" t="n">
        <v>48.495</v>
      </c>
      <c r="H28" s="19" t="n">
        <v>0.06</v>
      </c>
      <c r="I28" s="2" t="n">
        <v>20</v>
      </c>
      <c r="J28" s="2" t="n">
        <v>4</v>
      </c>
      <c r="K28" s="2" t="inlineStr">
        <is>
          <t>CLOSED</t>
        </is>
      </c>
      <c r="L28" s="2" t="inlineStr">
        <is>
          <t>TARGET</t>
        </is>
      </c>
      <c r="M28" s="17" t="n">
        <v>1666.666666666667</v>
      </c>
      <c r="N28" s="17" t="n">
        <v>100</v>
      </c>
      <c r="O28" s="17" t="n">
        <v>1666.666666666667</v>
      </c>
      <c r="P28" s="17" t="n">
        <v>100</v>
      </c>
      <c r="Q28" s="17" t="n"/>
      <c r="R28" s="19" t="n"/>
    </row>
    <row r="29">
      <c r="A29" s="2" t="inlineStr">
        <is>
          <t>PSUBNKBEES</t>
        </is>
      </c>
      <c r="B29" s="18" t="n">
        <v>45426</v>
      </c>
      <c r="C29" s="19" t="n">
        <v>-0.02010364769796954</v>
      </c>
      <c r="D29" s="18" t="n">
        <v>45427</v>
      </c>
      <c r="E29" s="17" t="n">
        <v>79.48999999999999</v>
      </c>
      <c r="F29" s="18" t="n">
        <v>45446</v>
      </c>
      <c r="G29" s="17" t="n">
        <v>84.2594</v>
      </c>
      <c r="H29" s="19" t="n">
        <v>0.06</v>
      </c>
      <c r="I29" s="2" t="n">
        <v>13</v>
      </c>
      <c r="J29" s="2" t="n">
        <v>6</v>
      </c>
      <c r="K29" s="2" t="inlineStr">
        <is>
          <t>CLOSED</t>
        </is>
      </c>
      <c r="L29" s="2" t="inlineStr">
        <is>
          <t>TARGET</t>
        </is>
      </c>
      <c r="M29" s="17" t="n">
        <v>1666.666666666667</v>
      </c>
      <c r="N29" s="17" t="n">
        <v>100</v>
      </c>
      <c r="O29" s="17" t="n">
        <v>1666.666666666667</v>
      </c>
      <c r="P29" s="17" t="n">
        <v>100</v>
      </c>
      <c r="Q29" s="17" t="n"/>
      <c r="R29" s="19" t="n"/>
    </row>
    <row r="30">
      <c r="A30" s="2" t="inlineStr">
        <is>
          <t>ICICIB22</t>
        </is>
      </c>
      <c r="B30" s="18" t="n">
        <v>45447</v>
      </c>
      <c r="C30" s="19" t="n">
        <v>-0.04332138335319848</v>
      </c>
      <c r="D30" s="18" t="n">
        <v>45448</v>
      </c>
      <c r="E30" s="17" t="n">
        <v>104.8</v>
      </c>
      <c r="F30" s="18" t="n">
        <v>45449</v>
      </c>
      <c r="G30" s="17" t="n">
        <v>111.088</v>
      </c>
      <c r="H30" s="19" t="n">
        <v>0.06</v>
      </c>
      <c r="I30" s="2" t="n">
        <v>1</v>
      </c>
      <c r="J30" s="2" t="n">
        <v>1</v>
      </c>
      <c r="K30" s="2" t="inlineStr">
        <is>
          <t>CLOSED</t>
        </is>
      </c>
      <c r="L30" s="2" t="inlineStr">
        <is>
          <t>TARGET</t>
        </is>
      </c>
      <c r="M30" s="17" t="n">
        <v>1666.666666666667</v>
      </c>
      <c r="N30" s="17" t="n">
        <v>100</v>
      </c>
      <c r="O30" s="17" t="n">
        <v>1666.666666666667</v>
      </c>
      <c r="P30" s="17" t="n">
        <v>100</v>
      </c>
      <c r="Q30" s="17" t="n"/>
      <c r="R30" s="19" t="n"/>
    </row>
    <row r="31">
      <c r="A31" s="2" t="inlineStr">
        <is>
          <t>CPSEETF</t>
        </is>
      </c>
      <c r="B31" s="18" t="n">
        <v>45448</v>
      </c>
      <c r="C31" s="19" t="n">
        <v>-0.05024792836511987</v>
      </c>
      <c r="D31" s="18" t="n">
        <v>45449</v>
      </c>
      <c r="E31" s="17" t="n">
        <v>86.09999999999999</v>
      </c>
      <c r="F31" s="18" t="n">
        <v>45453</v>
      </c>
      <c r="G31" s="17" t="n">
        <v>91.26600000000001</v>
      </c>
      <c r="H31" s="19" t="n">
        <v>0.06</v>
      </c>
      <c r="I31" s="2" t="n">
        <v>2</v>
      </c>
      <c r="J31" s="2" t="n">
        <v>0</v>
      </c>
      <c r="K31" s="2" t="inlineStr">
        <is>
          <t>CLOSED</t>
        </is>
      </c>
      <c r="L31" s="2" t="inlineStr">
        <is>
          <t>TARGET</t>
        </is>
      </c>
      <c r="M31" s="17" t="n">
        <v>1666.666666666667</v>
      </c>
      <c r="N31" s="17" t="n">
        <v>100</v>
      </c>
      <c r="O31" s="17" t="n">
        <v>1666.666666666667</v>
      </c>
      <c r="P31" s="17" t="n">
        <v>100</v>
      </c>
      <c r="Q31" s="17" t="n"/>
      <c r="R31" s="19" t="n"/>
    </row>
    <row r="32">
      <c r="A32" s="2" t="inlineStr">
        <is>
          <t>HNGSNGBEES</t>
        </is>
      </c>
      <c r="B32" s="18" t="n">
        <v>45470</v>
      </c>
      <c r="C32" s="19" t="n">
        <v>-0.02152029866499871</v>
      </c>
      <c r="D32" s="18" t="n">
        <v>45471</v>
      </c>
      <c r="E32" s="17" t="n">
        <v>303.95</v>
      </c>
      <c r="F32" s="18" t="n">
        <v>45562</v>
      </c>
      <c r="G32" s="17" t="n">
        <v>322.187</v>
      </c>
      <c r="H32" s="19" t="n">
        <v>0.06</v>
      </c>
      <c r="I32" s="2" t="n">
        <v>63</v>
      </c>
      <c r="J32" s="2" t="n">
        <v>62</v>
      </c>
      <c r="K32" s="2" t="inlineStr">
        <is>
          <t>CLOSED</t>
        </is>
      </c>
      <c r="L32" s="2" t="inlineStr">
        <is>
          <t>TARGET</t>
        </is>
      </c>
      <c r="M32" s="17" t="n">
        <v>1666.666666666667</v>
      </c>
      <c r="N32" s="17" t="n">
        <v>100</v>
      </c>
      <c r="O32" s="17" t="n">
        <v>1666.666666666667</v>
      </c>
      <c r="P32" s="17" t="n">
        <v>100</v>
      </c>
      <c r="Q32" s="17" t="n"/>
      <c r="R32" s="19" t="n"/>
    </row>
    <row r="33">
      <c r="A33" s="2" t="inlineStr">
        <is>
          <t>MAHKTECH</t>
        </is>
      </c>
      <c r="B33" s="18" t="n">
        <v>45482</v>
      </c>
      <c r="C33" s="19" t="n">
        <v>-0.02185889461524798</v>
      </c>
      <c r="D33" s="18" t="n">
        <v>45483</v>
      </c>
      <c r="E33" s="17" t="n">
        <v>13.96</v>
      </c>
      <c r="F33" s="18" t="n">
        <v>45561</v>
      </c>
      <c r="G33" s="17" t="n">
        <v>14.7976</v>
      </c>
      <c r="H33" s="19" t="n">
        <v>0.06</v>
      </c>
      <c r="I33" s="2" t="n">
        <v>54</v>
      </c>
      <c r="J33" s="2" t="n">
        <v>53</v>
      </c>
      <c r="K33" s="2" t="inlineStr">
        <is>
          <t>CLOSED</t>
        </is>
      </c>
      <c r="L33" s="2" t="inlineStr">
        <is>
          <t>TARGET</t>
        </is>
      </c>
      <c r="M33" s="17" t="n">
        <v>1666.666666666667</v>
      </c>
      <c r="N33" s="17" t="n">
        <v>100</v>
      </c>
      <c r="O33" s="17" t="n">
        <v>1666.666666666667</v>
      </c>
      <c r="P33" s="17" t="n">
        <v>100</v>
      </c>
      <c r="Q33" s="17" t="n"/>
      <c r="R33" s="19" t="n"/>
    </row>
    <row r="34">
      <c r="A34" s="2" t="inlineStr">
        <is>
          <t>MOREALTY</t>
        </is>
      </c>
      <c r="B34" s="18" t="n">
        <v>45485</v>
      </c>
      <c r="C34" s="19" t="n">
        <v>-0.02074273378593995</v>
      </c>
      <c r="D34" s="18" t="n">
        <v>45488</v>
      </c>
      <c r="E34" s="17" t="n">
        <v>112.19</v>
      </c>
      <c r="F34" s="18" t="n">
        <v>45621</v>
      </c>
      <c r="G34" s="17" t="n">
        <v>102.75</v>
      </c>
      <c r="H34" s="19" t="n">
        <v>-0.08414297174436222</v>
      </c>
      <c r="I34" s="2" t="n"/>
      <c r="J34" s="2" t="n"/>
      <c r="K34" s="2" t="inlineStr">
        <is>
          <t>CLOSED</t>
        </is>
      </c>
      <c r="L34" s="2" t="inlineStr">
        <is>
          <t>MAX HOLD</t>
        </is>
      </c>
      <c r="M34" s="17" t="n">
        <v>1666.666666666667</v>
      </c>
      <c r="N34" s="17" t="n">
        <v>-140.2382862406037</v>
      </c>
      <c r="O34" s="17" t="n">
        <v>1666.666666666667</v>
      </c>
      <c r="P34" s="17" t="n">
        <v>-140.2382862406037</v>
      </c>
      <c r="Q34" s="17" t="n"/>
      <c r="R34" s="19" t="n"/>
    </row>
    <row r="35">
      <c r="A35" s="2" t="inlineStr">
        <is>
          <t>MONQ50</t>
        </is>
      </c>
      <c r="B35" s="18" t="n">
        <v>45496</v>
      </c>
      <c r="C35" s="19" t="n">
        <v>-0.04179263738218034</v>
      </c>
      <c r="D35" s="18" t="n">
        <v>45497</v>
      </c>
      <c r="E35" s="17" t="n">
        <v>67.97</v>
      </c>
      <c r="F35" s="18" t="n">
        <v>45607</v>
      </c>
      <c r="G35" s="17" t="n">
        <v>72.04820000000001</v>
      </c>
      <c r="H35" s="19" t="n">
        <v>0.06</v>
      </c>
      <c r="I35" s="2" t="n">
        <v>76</v>
      </c>
      <c r="J35" s="2" t="n">
        <v>75</v>
      </c>
      <c r="K35" s="2" t="inlineStr">
        <is>
          <t>CLOSED</t>
        </is>
      </c>
      <c r="L35" s="2" t="inlineStr">
        <is>
          <t>TARGET</t>
        </is>
      </c>
      <c r="M35" s="17" t="n">
        <v>1666.666666666667</v>
      </c>
      <c r="N35" s="17" t="n">
        <v>100</v>
      </c>
      <c r="O35" s="17" t="n">
        <v>1666.666666666667</v>
      </c>
      <c r="P35" s="17" t="n">
        <v>100</v>
      </c>
      <c r="Q35" s="17" t="n"/>
      <c r="R35" s="19" t="n"/>
    </row>
    <row r="36">
      <c r="A36" s="2" t="inlineStr">
        <is>
          <t>PSUBNKBEES</t>
        </is>
      </c>
      <c r="B36" s="18" t="n">
        <v>45517</v>
      </c>
      <c r="C36" s="19" t="n">
        <v>-0.05041874894452754</v>
      </c>
      <c r="D36" s="18" t="n">
        <v>45518</v>
      </c>
      <c r="E36" s="17" t="n">
        <v>76.59</v>
      </c>
      <c r="F36" s="18" t="n">
        <v>45650</v>
      </c>
      <c r="G36" s="17" t="n">
        <v>73.36</v>
      </c>
      <c r="H36" s="19" t="n">
        <v>-0.04217260738999874</v>
      </c>
      <c r="I36" s="2" t="n"/>
      <c r="J36" s="2" t="n">
        <v>3</v>
      </c>
      <c r="K36" s="2" t="inlineStr">
        <is>
          <t>CLOSED</t>
        </is>
      </c>
      <c r="L36" s="2" t="inlineStr">
        <is>
          <t>MAX HOLD</t>
        </is>
      </c>
      <c r="M36" s="17" t="n">
        <v>1666.666666666667</v>
      </c>
      <c r="N36" s="17" t="n">
        <v>-70.28767898333125</v>
      </c>
      <c r="O36" s="17" t="n">
        <v>1666.666666666667</v>
      </c>
      <c r="P36" s="17" t="n">
        <v>-70.28767898333126</v>
      </c>
      <c r="Q36" s="17" t="n"/>
      <c r="R36" s="19" t="n"/>
    </row>
    <row r="37">
      <c r="A37" s="2" t="inlineStr">
        <is>
          <t>PSUBNKIETF</t>
        </is>
      </c>
      <c r="B37" s="18" t="n">
        <v>45518</v>
      </c>
      <c r="C37" s="19" t="n">
        <v>-0.0505368369249539</v>
      </c>
      <c r="D37" s="18" t="n">
        <v>45520</v>
      </c>
      <c r="E37" s="17" t="n">
        <v>69.69</v>
      </c>
      <c r="F37" s="18" t="n">
        <v>45652</v>
      </c>
      <c r="G37" s="17" t="n">
        <v>66.88</v>
      </c>
      <c r="H37" s="19" t="n">
        <v>-0.04032142344669253</v>
      </c>
      <c r="I37" s="2" t="n"/>
      <c r="J37" s="2" t="n">
        <v>75</v>
      </c>
      <c r="K37" s="2" t="inlineStr">
        <is>
          <t>CLOSED</t>
        </is>
      </c>
      <c r="L37" s="2" t="inlineStr">
        <is>
          <t>MAX HOLD</t>
        </is>
      </c>
      <c r="M37" s="17" t="n">
        <v>1666.666666666667</v>
      </c>
      <c r="N37" s="17" t="n">
        <v>-67.20237241115423</v>
      </c>
      <c r="O37" s="17" t="n">
        <v>1666.666666666667</v>
      </c>
      <c r="P37" s="17" t="n">
        <v>-67.20237241115433</v>
      </c>
      <c r="Q37" s="17" t="n"/>
      <c r="R37" s="19" t="n"/>
    </row>
    <row r="38">
      <c r="A38" s="2" t="inlineStr">
        <is>
          <t>CPSEETF</t>
        </is>
      </c>
      <c r="B38" s="18" t="n">
        <v>45540</v>
      </c>
      <c r="C38" s="19" t="n">
        <v>-0.02387293830177149</v>
      </c>
      <c r="D38" s="18" t="n">
        <v>45541</v>
      </c>
      <c r="E38" s="17" t="n">
        <v>100</v>
      </c>
      <c r="F38" s="18" t="n">
        <v>45673</v>
      </c>
      <c r="G38" s="17" t="n">
        <v>84.55</v>
      </c>
      <c r="H38" s="19" t="n">
        <v>-0.1545</v>
      </c>
      <c r="I38" s="2" t="n"/>
      <c r="J38" s="2" t="n"/>
      <c r="K38" s="2" t="inlineStr">
        <is>
          <t>CLOSED</t>
        </is>
      </c>
      <c r="L38" s="2" t="inlineStr">
        <is>
          <t>MAX HOLD</t>
        </is>
      </c>
      <c r="M38" s="17" t="n">
        <v>1666.666666666667</v>
      </c>
      <c r="N38" s="17" t="n">
        <v>-257.5000000000001</v>
      </c>
      <c r="O38" s="17" t="n">
        <v>1666.666666666667</v>
      </c>
      <c r="P38" s="17" t="n">
        <v>-257.5000000000002</v>
      </c>
      <c r="Q38" s="17" t="n"/>
      <c r="R38" s="19" t="n"/>
    </row>
    <row r="39">
      <c r="A39" s="2" t="inlineStr">
        <is>
          <t>HDFCPSUBK</t>
        </is>
      </c>
      <c r="B39" s="18" t="n">
        <v>45546</v>
      </c>
      <c r="C39" s="19" t="n">
        <v>-0.05295887374224457</v>
      </c>
      <c r="D39" s="18" t="n">
        <v>45547</v>
      </c>
      <c r="E39" s="17" t="n">
        <v>67.19</v>
      </c>
      <c r="F39" s="18" t="n">
        <v>45630</v>
      </c>
      <c r="G39" s="17" t="n">
        <v>71.2214</v>
      </c>
      <c r="H39" s="19" t="n">
        <v>0.06</v>
      </c>
      <c r="I39" s="2" t="n">
        <v>56</v>
      </c>
      <c r="J39" s="2" t="n">
        <v>14</v>
      </c>
      <c r="K39" s="2" t="inlineStr">
        <is>
          <t>CLOSED</t>
        </is>
      </c>
      <c r="L39" s="2" t="inlineStr">
        <is>
          <t>TARGET</t>
        </is>
      </c>
      <c r="M39" s="17" t="n">
        <v>1666.666666666667</v>
      </c>
      <c r="N39" s="17" t="n">
        <v>100</v>
      </c>
      <c r="O39" s="17" t="n">
        <v>1666.666666666667</v>
      </c>
      <c r="P39" s="17" t="n">
        <v>100</v>
      </c>
      <c r="Q39" s="17" t="n"/>
      <c r="R39" s="19" t="n"/>
    </row>
    <row r="40">
      <c r="A40" s="2" t="inlineStr">
        <is>
          <t>OILIETF</t>
        </is>
      </c>
      <c r="B40" s="18" t="n">
        <v>45548</v>
      </c>
      <c r="C40" s="19" t="n">
        <v>-0.03494176372712145</v>
      </c>
      <c r="D40" s="18" t="n">
        <v>45551</v>
      </c>
      <c r="E40" s="17" t="n">
        <v>12.94</v>
      </c>
      <c r="F40" s="18" t="n">
        <v>45681</v>
      </c>
      <c r="G40" s="17" t="n">
        <v>10.53</v>
      </c>
      <c r="H40" s="19" t="n">
        <v>-0.1862442040185472</v>
      </c>
      <c r="I40" s="2" t="n"/>
      <c r="J40" s="2" t="n">
        <v>12</v>
      </c>
      <c r="K40" s="2" t="inlineStr">
        <is>
          <t>CLOSED</t>
        </is>
      </c>
      <c r="L40" s="2" t="inlineStr">
        <is>
          <t>MAX HOLD</t>
        </is>
      </c>
      <c r="M40" s="17" t="n">
        <v>1666.666666666667</v>
      </c>
      <c r="N40" s="17" t="n">
        <v>-310.4070066975786</v>
      </c>
      <c r="O40" s="17" t="n">
        <v>1666.666666666667</v>
      </c>
      <c r="P40" s="17" t="n">
        <v>-310.4070066975785</v>
      </c>
      <c r="Q40" s="17" t="n"/>
      <c r="R40" s="19" t="n"/>
    </row>
    <row r="41">
      <c r="A41" s="2" t="inlineStr">
        <is>
          <t>MODEFENCE</t>
        </is>
      </c>
      <c r="B41" s="18" t="n">
        <v>45568</v>
      </c>
      <c r="C41" s="19" t="n">
        <v>-0.02702189810704382</v>
      </c>
      <c r="D41" s="18" t="n">
        <v>45569</v>
      </c>
      <c r="E41" s="17" t="n">
        <v>72.3</v>
      </c>
      <c r="F41" s="18" t="n">
        <v>45637</v>
      </c>
      <c r="G41" s="17" t="n">
        <v>76.63800000000001</v>
      </c>
      <c r="H41" s="19" t="n">
        <v>0.06</v>
      </c>
      <c r="I41" s="2" t="n">
        <v>46</v>
      </c>
      <c r="J41" s="2" t="n">
        <v>8</v>
      </c>
      <c r="K41" s="2" t="inlineStr">
        <is>
          <t>CLOSED</t>
        </is>
      </c>
      <c r="L41" s="2" t="inlineStr">
        <is>
          <t>TARGET</t>
        </is>
      </c>
      <c r="M41" s="17" t="n">
        <v>1666.666666666667</v>
      </c>
      <c r="N41" s="17" t="n">
        <v>100</v>
      </c>
      <c r="O41" s="17" t="n">
        <v>1666.666666666667</v>
      </c>
      <c r="P41" s="17" t="n">
        <v>100</v>
      </c>
      <c r="Q41" s="17" t="n"/>
      <c r="R41" s="19" t="n"/>
    </row>
    <row r="42">
      <c r="A42" s="2" t="inlineStr">
        <is>
          <t>FMCGIETF</t>
        </is>
      </c>
      <c r="B42" s="18" t="n">
        <v>45574</v>
      </c>
      <c r="C42" s="19" t="n">
        <v>-0.03804347826086962</v>
      </c>
      <c r="D42" s="18" t="n">
        <v>45575</v>
      </c>
      <c r="E42" s="17" t="n">
        <v>66.06</v>
      </c>
      <c r="F42" s="18" t="n">
        <v>45705</v>
      </c>
      <c r="G42" s="17" t="n">
        <v>56.03</v>
      </c>
      <c r="H42" s="19" t="n">
        <v>-0.151831668180442</v>
      </c>
      <c r="I42" s="2" t="n"/>
      <c r="J42" s="2" t="n"/>
      <c r="K42" s="2" t="inlineStr">
        <is>
          <t>CLOSED</t>
        </is>
      </c>
      <c r="L42" s="2" t="inlineStr">
        <is>
          <t>MAX HOLD</t>
        </is>
      </c>
      <c r="M42" s="17" t="n">
        <v>1666.666666666667</v>
      </c>
      <c r="N42" s="17" t="n">
        <v>-253.0527803007367</v>
      </c>
      <c r="O42" s="17" t="n">
        <v>1666.666666666667</v>
      </c>
      <c r="P42" s="17" t="n">
        <v>-253.0527803007367</v>
      </c>
      <c r="Q42" s="17" t="n"/>
      <c r="R42" s="19" t="n"/>
    </row>
    <row r="43">
      <c r="A43" s="2" t="inlineStr">
        <is>
          <t>HNGSNGBEES</t>
        </is>
      </c>
      <c r="B43" s="18" t="n">
        <v>45580</v>
      </c>
      <c r="C43" s="19" t="n">
        <v>-0.03750897132705033</v>
      </c>
      <c r="D43" s="18" t="n">
        <v>45581</v>
      </c>
      <c r="E43" s="17" t="n">
        <v>330</v>
      </c>
      <c r="F43" s="18" t="n">
        <v>45600</v>
      </c>
      <c r="G43" s="17" t="n">
        <v>349.8</v>
      </c>
      <c r="H43" s="19" t="n">
        <v>0.06</v>
      </c>
      <c r="I43" s="2" t="n">
        <v>13</v>
      </c>
      <c r="J43" s="2" t="n">
        <v>5</v>
      </c>
      <c r="K43" s="2" t="inlineStr">
        <is>
          <t>CLOSED</t>
        </is>
      </c>
      <c r="L43" s="2" t="inlineStr">
        <is>
          <t>TARGET</t>
        </is>
      </c>
      <c r="M43" s="17" t="n">
        <v>1666.666666666667</v>
      </c>
      <c r="N43" s="17" t="n">
        <v>100</v>
      </c>
      <c r="O43" s="17" t="n">
        <v>1666.666666666667</v>
      </c>
      <c r="P43" s="17" t="n">
        <v>100</v>
      </c>
      <c r="Q43" s="17" t="n"/>
      <c r="R43" s="19" t="n"/>
    </row>
    <row r="44">
      <c r="A44" s="2" t="inlineStr">
        <is>
          <t>AUTOBEES</t>
        </is>
      </c>
      <c r="B44" s="18" t="n">
        <v>45583</v>
      </c>
      <c r="C44" s="19" t="n">
        <v>-0.04780060930692247</v>
      </c>
      <c r="D44" s="18" t="n">
        <v>45586</v>
      </c>
      <c r="E44" s="17" t="n">
        <v>260</v>
      </c>
      <c r="F44" s="18" t="n">
        <v>45715</v>
      </c>
      <c r="G44" s="17" t="n">
        <v>217.16</v>
      </c>
      <c r="H44" s="19" t="n">
        <v>-0.1647692307692308</v>
      </c>
      <c r="I44" s="2" t="n"/>
      <c r="J44" s="2" t="n"/>
      <c r="K44" s="2" t="inlineStr">
        <is>
          <t>CLOSED</t>
        </is>
      </c>
      <c r="L44" s="2" t="inlineStr">
        <is>
          <t>MAX HOLD</t>
        </is>
      </c>
      <c r="M44" s="17" t="n">
        <v>1666.666666666667</v>
      </c>
      <c r="N44" s="17" t="n">
        <v>-274.6153846153846</v>
      </c>
      <c r="O44" s="17" t="n">
        <v>1666.666666666667</v>
      </c>
      <c r="P44" s="17" t="n">
        <v>-274.6153846153848</v>
      </c>
      <c r="Q44" s="17" t="n"/>
      <c r="R44" s="19" t="n"/>
    </row>
    <row r="45">
      <c r="A45" s="2" t="inlineStr">
        <is>
          <t>AUTOIETF</t>
        </is>
      </c>
      <c r="B45" s="18" t="n">
        <v>45588</v>
      </c>
      <c r="C45" s="19" t="n">
        <v>-0.06554282617227661</v>
      </c>
      <c r="D45" s="18" t="n">
        <v>45589</v>
      </c>
      <c r="E45" s="17" t="n">
        <v>25.01</v>
      </c>
      <c r="F45" s="18" t="n">
        <v>45720</v>
      </c>
      <c r="G45" s="17" t="n">
        <v>20.73</v>
      </c>
      <c r="H45" s="19" t="n">
        <v>-0.1711315473810476</v>
      </c>
      <c r="I45" s="2" t="n"/>
      <c r="J45" s="2" t="n"/>
      <c r="K45" s="2" t="inlineStr">
        <is>
          <t>CLOSED</t>
        </is>
      </c>
      <c r="L45" s="2" t="inlineStr">
        <is>
          <t>MAX HOLD</t>
        </is>
      </c>
      <c r="M45" s="17" t="n">
        <v>1666.666666666667</v>
      </c>
      <c r="N45" s="17" t="n">
        <v>-285.2192456350793</v>
      </c>
      <c r="O45" s="17" t="n">
        <v>1666.666666666667</v>
      </c>
      <c r="P45" s="17" t="n">
        <v>-285.2192456350795</v>
      </c>
      <c r="Q45" s="17" t="n"/>
      <c r="R45" s="19" t="n"/>
    </row>
    <row r="46">
      <c r="A46" s="2" t="inlineStr">
        <is>
          <t>ALPHAETF</t>
        </is>
      </c>
      <c r="B46" s="18" t="n">
        <v>45601</v>
      </c>
      <c r="C46" s="19" t="n">
        <v>-0.04728992360858484</v>
      </c>
      <c r="D46" s="18" t="n">
        <v>45602</v>
      </c>
      <c r="E46" s="17" t="n">
        <v>26.2</v>
      </c>
      <c r="F46" s="18" t="n">
        <v>45734</v>
      </c>
      <c r="G46" s="17" t="n">
        <v>21.62</v>
      </c>
      <c r="H46" s="19" t="n">
        <v>-0.1748091603053435</v>
      </c>
      <c r="I46" s="2" t="n"/>
      <c r="J46" s="2" t="n">
        <v>1</v>
      </c>
      <c r="K46" s="2" t="inlineStr">
        <is>
          <t>CLOSED</t>
        </is>
      </c>
      <c r="L46" s="2" t="inlineStr">
        <is>
          <t>MAX HOLD</t>
        </is>
      </c>
      <c r="M46" s="17" t="n">
        <v>1666.666666666667</v>
      </c>
      <c r="N46" s="17" t="n">
        <v>-291.3486005089058</v>
      </c>
      <c r="O46" s="17" t="n">
        <v>1666.666666666667</v>
      </c>
      <c r="P46" s="17" t="n">
        <v>-291.3486005089057</v>
      </c>
      <c r="Q46" s="17" t="n"/>
      <c r="R46" s="19" t="n"/>
    </row>
    <row r="47">
      <c r="A47" s="2" t="inlineStr">
        <is>
          <t>SMALLCAP</t>
        </is>
      </c>
      <c r="B47" s="18" t="n">
        <v>45609</v>
      </c>
      <c r="C47" s="19" t="n">
        <v>-0.05812197024297294</v>
      </c>
      <c r="D47" s="18" t="n">
        <v>45610</v>
      </c>
      <c r="E47" s="17" t="n">
        <v>48.29</v>
      </c>
      <c r="F47" s="18" t="n">
        <v>45624</v>
      </c>
      <c r="G47" s="17" t="n">
        <v>51.1874</v>
      </c>
      <c r="H47" s="19" t="n">
        <v>0.06</v>
      </c>
      <c r="I47" s="2" t="n">
        <v>8</v>
      </c>
      <c r="J47" s="2" t="n">
        <v>5</v>
      </c>
      <c r="K47" s="2" t="inlineStr">
        <is>
          <t>CLOSED</t>
        </is>
      </c>
      <c r="L47" s="2" t="inlineStr">
        <is>
          <t>TARGET</t>
        </is>
      </c>
      <c r="M47" s="17" t="n">
        <v>1666.666666666667</v>
      </c>
      <c r="N47" s="17" t="n">
        <v>100</v>
      </c>
      <c r="O47" s="17" t="n">
        <v>1666.666666666667</v>
      </c>
      <c r="P47" s="17" t="n">
        <v>100</v>
      </c>
      <c r="Q47" s="17" t="n"/>
      <c r="R47" s="19" t="n"/>
    </row>
    <row r="48">
      <c r="A48" s="2" t="inlineStr">
        <is>
          <t>MAHKTECH</t>
        </is>
      </c>
      <c r="B48" s="18" t="n">
        <v>45618</v>
      </c>
      <c r="C48" s="19" t="n">
        <v>-0.06932080662323842</v>
      </c>
      <c r="D48" s="18" t="n">
        <v>45621</v>
      </c>
      <c r="E48" s="17" t="n">
        <v>18.85</v>
      </c>
      <c r="F48" s="18" t="n">
        <v>45684</v>
      </c>
      <c r="G48" s="17" t="n">
        <v>19.981</v>
      </c>
      <c r="H48" s="19" t="n">
        <v>0.06</v>
      </c>
      <c r="I48" s="2" t="n">
        <v>44</v>
      </c>
      <c r="J48" s="2" t="n">
        <v>11</v>
      </c>
      <c r="K48" s="2" t="inlineStr">
        <is>
          <t>CLOSED</t>
        </is>
      </c>
      <c r="L48" s="2" t="inlineStr">
        <is>
          <t>TARGET</t>
        </is>
      </c>
      <c r="M48" s="17" t="n">
        <v>1666.666666666667</v>
      </c>
      <c r="N48" s="17" t="n">
        <v>100</v>
      </c>
      <c r="O48" s="17" t="n">
        <v>1666.666666666667</v>
      </c>
      <c r="P48" s="17" t="n">
        <v>100</v>
      </c>
      <c r="Q48" s="17" t="n"/>
      <c r="R48" s="19" t="n"/>
    </row>
    <row r="49">
      <c r="A49" s="2" t="inlineStr">
        <is>
          <t>HNGSNGBEES</t>
        </is>
      </c>
      <c r="B49" s="18" t="n">
        <v>45628</v>
      </c>
      <c r="C49" s="19" t="n">
        <v>-0.02675618740511467</v>
      </c>
      <c r="D49" s="18" t="n">
        <v>45629</v>
      </c>
      <c r="E49" s="17" t="n">
        <v>331.99</v>
      </c>
      <c r="F49" s="18" t="n">
        <v>45635</v>
      </c>
      <c r="G49" s="17" t="n">
        <v>351.9094</v>
      </c>
      <c r="H49" s="19" t="n">
        <v>0.06</v>
      </c>
      <c r="I49" s="2" t="n">
        <v>4</v>
      </c>
      <c r="J49" s="2" t="n">
        <v>4</v>
      </c>
      <c r="K49" s="2" t="inlineStr">
        <is>
          <t>CLOSED</t>
        </is>
      </c>
      <c r="L49" s="2" t="inlineStr">
        <is>
          <t>TARGET</t>
        </is>
      </c>
      <c r="M49" s="17" t="n">
        <v>1666.666666666667</v>
      </c>
      <c r="N49" s="17" t="n">
        <v>100</v>
      </c>
      <c r="O49" s="17" t="n">
        <v>1666.666666666667</v>
      </c>
      <c r="P49" s="17" t="n">
        <v>100</v>
      </c>
      <c r="Q49" s="17" t="n"/>
      <c r="R49" s="19" t="n"/>
    </row>
    <row r="50">
      <c r="A50" s="2" t="inlineStr">
        <is>
          <t>ABSLPSE</t>
        </is>
      </c>
      <c r="B50" s="18" t="n">
        <v>45656</v>
      </c>
      <c r="C50" s="19" t="n">
        <v>-0.05869543699891121</v>
      </c>
      <c r="D50" s="18" t="n">
        <v>45657</v>
      </c>
      <c r="E50" s="17" t="n">
        <v>9.699999999999999</v>
      </c>
      <c r="F50" s="18" t="n">
        <v>45791</v>
      </c>
      <c r="G50" s="17" t="n">
        <v>9.84</v>
      </c>
      <c r="H50" s="19" t="n">
        <v>0.01443298969072171</v>
      </c>
      <c r="I50" s="2" t="n"/>
      <c r="J50" s="2" t="n">
        <v>78</v>
      </c>
      <c r="K50" s="2" t="inlineStr">
        <is>
          <t>CLOSED</t>
        </is>
      </c>
      <c r="L50" s="2" t="inlineStr">
        <is>
          <t>MAX HOLD</t>
        </is>
      </c>
      <c r="M50" s="17" t="n">
        <v>1666.666666666667</v>
      </c>
      <c r="N50" s="17" t="n">
        <v>24.05498281786952</v>
      </c>
      <c r="O50" s="17" t="n">
        <v>1666.666666666667</v>
      </c>
      <c r="P50" s="17" t="n">
        <v>24.05498281786936</v>
      </c>
      <c r="Q50" s="17" t="n"/>
      <c r="R50" s="19" t="n"/>
    </row>
    <row r="51">
      <c r="A51" s="2" t="inlineStr">
        <is>
          <t>PSUBNKIETF</t>
        </is>
      </c>
      <c r="B51" s="18" t="n">
        <v>45657</v>
      </c>
      <c r="C51" s="19" t="n">
        <v>-0.05196989051753355</v>
      </c>
      <c r="D51" s="18" t="n">
        <v>45658</v>
      </c>
      <c r="E51" s="17" t="n">
        <v>65.68000000000001</v>
      </c>
      <c r="F51" s="18" t="n">
        <v>45792</v>
      </c>
      <c r="G51" s="17" t="n">
        <v>66.58</v>
      </c>
      <c r="H51" s="19" t="n">
        <v>0.01370280146163202</v>
      </c>
      <c r="I51" s="2" t="n"/>
      <c r="J51" s="2" t="n">
        <v>74</v>
      </c>
      <c r="K51" s="2" t="inlineStr">
        <is>
          <t>CLOSED</t>
        </is>
      </c>
      <c r="L51" s="2" t="inlineStr">
        <is>
          <t>MAX HOLD</t>
        </is>
      </c>
      <c r="M51" s="17" t="n">
        <v>1666.666666666667</v>
      </c>
      <c r="N51" s="17" t="n">
        <v>22.83800243605338</v>
      </c>
      <c r="O51" s="17" t="n">
        <v>1666.666666666667</v>
      </c>
      <c r="P51" s="17" t="n">
        <v>22.83800243605333</v>
      </c>
      <c r="Q51" s="17" t="n"/>
      <c r="R51" s="19" t="n"/>
    </row>
    <row r="52">
      <c r="A52" s="2" t="inlineStr">
        <is>
          <t>PSUBNKBEES</t>
        </is>
      </c>
      <c r="B52" s="18" t="n">
        <v>45663</v>
      </c>
      <c r="C52" s="19" t="n">
        <v>-0.06109281984768368</v>
      </c>
      <c r="D52" s="18" t="n">
        <v>45664</v>
      </c>
      <c r="E52" s="17" t="n">
        <v>71.3</v>
      </c>
      <c r="F52" s="18" t="n">
        <v>45769</v>
      </c>
      <c r="G52" s="17" t="n">
        <v>75.578</v>
      </c>
      <c r="H52" s="19" t="n">
        <v>0.06</v>
      </c>
      <c r="I52" s="2" t="n">
        <v>70</v>
      </c>
      <c r="J52" s="2" t="n">
        <v>69</v>
      </c>
      <c r="K52" s="2" t="inlineStr">
        <is>
          <t>CLOSED</t>
        </is>
      </c>
      <c r="L52" s="2" t="inlineStr">
        <is>
          <t>TARGET</t>
        </is>
      </c>
      <c r="M52" s="17" t="n">
        <v>1666.666666666667</v>
      </c>
      <c r="N52" s="17" t="n">
        <v>100</v>
      </c>
      <c r="O52" s="17" t="n">
        <v>1666.666666666667</v>
      </c>
      <c r="P52" s="17" t="n">
        <v>100</v>
      </c>
      <c r="Q52" s="17" t="n"/>
      <c r="R52" s="19" t="n"/>
    </row>
    <row r="53">
      <c r="A53" s="2" t="inlineStr">
        <is>
          <t>MOM30IETF</t>
        </is>
      </c>
      <c r="B53" s="18" t="n">
        <v>45665</v>
      </c>
      <c r="C53" s="19" t="n">
        <v>-0.05640577175338878</v>
      </c>
      <c r="D53" s="18" t="n">
        <v>45666</v>
      </c>
      <c r="E53" s="17" t="n">
        <v>32.05</v>
      </c>
      <c r="F53" s="18" t="n">
        <v>45800</v>
      </c>
      <c r="G53" s="17" t="n">
        <v>30.91</v>
      </c>
      <c r="H53" s="19" t="n">
        <v>-0.03556942277691098</v>
      </c>
      <c r="I53" s="2" t="n"/>
      <c r="J53" s="2" t="n"/>
      <c r="K53" s="2" t="inlineStr">
        <is>
          <t>CLOSED</t>
        </is>
      </c>
      <c r="L53" s="2" t="inlineStr">
        <is>
          <t>MAX HOLD</t>
        </is>
      </c>
      <c r="M53" s="17" t="n">
        <v>1666.666666666667</v>
      </c>
      <c r="N53" s="17" t="n">
        <v>-59.28237129485164</v>
      </c>
      <c r="O53" s="17" t="n">
        <v>1666.666666666667</v>
      </c>
      <c r="P53" s="17" t="n">
        <v>-59.2823712948516</v>
      </c>
      <c r="Q53" s="17" t="n"/>
      <c r="R53" s="19" t="n"/>
    </row>
    <row r="54">
      <c r="A54" s="2" t="inlineStr">
        <is>
          <t>MOREALTY</t>
        </is>
      </c>
      <c r="B54" s="18" t="n">
        <v>45666</v>
      </c>
      <c r="C54" s="19" t="n">
        <v>-0.06655443374887737</v>
      </c>
      <c r="D54" s="18" t="n">
        <v>45667</v>
      </c>
      <c r="E54" s="17" t="n">
        <v>100.5</v>
      </c>
      <c r="F54" s="18" t="n">
        <v>45803</v>
      </c>
      <c r="G54" s="17" t="n">
        <v>94.3</v>
      </c>
      <c r="H54" s="19" t="n">
        <v>-0.06169154228855724</v>
      </c>
      <c r="I54" s="2" t="n"/>
      <c r="J54" s="2" t="n"/>
      <c r="K54" s="2" t="inlineStr">
        <is>
          <t>CLOSED</t>
        </is>
      </c>
      <c r="L54" s="2" t="inlineStr">
        <is>
          <t>MAX HOLD</t>
        </is>
      </c>
      <c r="M54" s="17" t="n">
        <v>1666.666666666667</v>
      </c>
      <c r="N54" s="17" t="n">
        <v>-102.8192371475954</v>
      </c>
      <c r="O54" s="17" t="n">
        <v>1666.666666666667</v>
      </c>
      <c r="P54" s="17" t="n">
        <v>-102.8192371475955</v>
      </c>
      <c r="Q54" s="17" t="n"/>
      <c r="R54" s="19" t="n"/>
    </row>
    <row r="55">
      <c r="A55" s="2" t="inlineStr">
        <is>
          <t>SMALLCAP</t>
        </is>
      </c>
      <c r="B55" s="18" t="n">
        <v>45685</v>
      </c>
      <c r="C55" s="19" t="n">
        <v>-0.1130301612285701</v>
      </c>
      <c r="D55" s="18" t="n">
        <v>45686</v>
      </c>
      <c r="E55" s="17" t="n">
        <v>42.32</v>
      </c>
      <c r="F55" s="18" t="n">
        <v>45694</v>
      </c>
      <c r="G55" s="17" t="n">
        <v>44.8592</v>
      </c>
      <c r="H55" s="19" t="n">
        <v>0.06</v>
      </c>
      <c r="I55" s="2" t="n">
        <v>7</v>
      </c>
      <c r="J55" s="2" t="n">
        <v>1</v>
      </c>
      <c r="K55" s="2" t="inlineStr">
        <is>
          <t>CLOSED</t>
        </is>
      </c>
      <c r="L55" s="2" t="inlineStr">
        <is>
          <t>TARGET</t>
        </is>
      </c>
      <c r="M55" s="17" t="n">
        <v>1666.666666666667</v>
      </c>
      <c r="N55" s="17" t="n">
        <v>100</v>
      </c>
      <c r="O55" s="17" t="n">
        <v>1666.666666666667</v>
      </c>
      <c r="P55" s="17" t="n">
        <v>100</v>
      </c>
      <c r="Q55" s="17" t="n"/>
      <c r="R55" s="19" t="n"/>
    </row>
    <row r="56">
      <c r="A56" s="2" t="inlineStr">
        <is>
          <t>MODEFENCE</t>
        </is>
      </c>
      <c r="B56" s="18" t="n">
        <v>45694</v>
      </c>
      <c r="C56" s="19" t="n">
        <v>-0.02526995103993555</v>
      </c>
      <c r="D56" s="18" t="n">
        <v>45695</v>
      </c>
      <c r="E56" s="17" t="n">
        <v>65.20999999999999</v>
      </c>
      <c r="F56" s="18" t="n">
        <v>45737</v>
      </c>
      <c r="G56" s="17" t="n">
        <v>69.12259999999999</v>
      </c>
      <c r="H56" s="19" t="n">
        <v>0.06</v>
      </c>
      <c r="I56" s="2" t="n">
        <v>28</v>
      </c>
      <c r="J56" s="2" t="n">
        <v>27</v>
      </c>
      <c r="K56" s="2" t="inlineStr">
        <is>
          <t>CLOSED</t>
        </is>
      </c>
      <c r="L56" s="2" t="inlineStr">
        <is>
          <t>TARGET</t>
        </is>
      </c>
      <c r="M56" s="17" t="n">
        <v>1666.666666666667</v>
      </c>
      <c r="N56" s="17" t="n">
        <v>100</v>
      </c>
      <c r="O56" s="17" t="n">
        <v>1666.666666666667</v>
      </c>
      <c r="P56" s="17" t="n">
        <v>100</v>
      </c>
      <c r="Q56" s="17" t="n"/>
      <c r="R56" s="19" t="n"/>
    </row>
    <row r="57">
      <c r="A57" s="2" t="inlineStr">
        <is>
          <t>MON100</t>
        </is>
      </c>
      <c r="B57" s="18" t="n">
        <v>45716</v>
      </c>
      <c r="C57" s="19" t="n">
        <v>-0.09702567828624867</v>
      </c>
      <c r="D57" s="18" t="n">
        <v>45719</v>
      </c>
      <c r="E57" s="17" t="n">
        <v>182</v>
      </c>
      <c r="F57" s="18" t="n">
        <v>45838</v>
      </c>
      <c r="G57" s="17" t="n">
        <v>192.92</v>
      </c>
      <c r="H57" s="19" t="n">
        <v>0.06</v>
      </c>
      <c r="I57" s="2" t="n">
        <v>79</v>
      </c>
      <c r="J57" s="2" t="n">
        <v>0</v>
      </c>
      <c r="K57" s="2" t="inlineStr">
        <is>
          <t>CLOSED</t>
        </is>
      </c>
      <c r="L57" s="2" t="inlineStr">
        <is>
          <t>TARGET</t>
        </is>
      </c>
      <c r="M57" s="17" t="n">
        <v>1666.666666666667</v>
      </c>
      <c r="N57" s="17" t="n">
        <v>100</v>
      </c>
      <c r="O57" s="17" t="n">
        <v>1666.666666666667</v>
      </c>
      <c r="P57" s="17" t="n">
        <v>100</v>
      </c>
      <c r="Q57" s="17" t="n"/>
      <c r="R57" s="19" t="n"/>
    </row>
    <row r="58">
      <c r="A58" s="2" t="inlineStr">
        <is>
          <t>ITIETF</t>
        </is>
      </c>
      <c r="B58" s="18" t="n">
        <v>45719</v>
      </c>
      <c r="C58" s="19" t="n">
        <v>-0.08452694529545432</v>
      </c>
      <c r="D58" s="18" t="n">
        <v>45720</v>
      </c>
      <c r="E58" s="17" t="n">
        <v>40.22</v>
      </c>
      <c r="F58" s="18" t="n">
        <v>45824</v>
      </c>
      <c r="G58" s="17" t="n">
        <v>42.6332</v>
      </c>
      <c r="H58" s="19" t="n">
        <v>0.06</v>
      </c>
      <c r="I58" s="2" t="n">
        <v>68</v>
      </c>
      <c r="J58" s="2" t="n">
        <v>2</v>
      </c>
      <c r="K58" s="2" t="inlineStr">
        <is>
          <t>CLOSED</t>
        </is>
      </c>
      <c r="L58" s="2" t="inlineStr">
        <is>
          <t>TARGET</t>
        </is>
      </c>
      <c r="M58" s="17" t="n">
        <v>1666.666666666667</v>
      </c>
      <c r="N58" s="17" t="n">
        <v>100</v>
      </c>
      <c r="O58" s="17" t="n">
        <v>1666.666666666667</v>
      </c>
      <c r="P58" s="17" t="n">
        <v>100</v>
      </c>
      <c r="Q58" s="17" t="n"/>
      <c r="R58" s="19" t="n"/>
    </row>
    <row r="59">
      <c r="A59" s="2" t="inlineStr">
        <is>
          <t>MASPTOP50</t>
        </is>
      </c>
      <c r="B59" s="18" t="n">
        <v>45722</v>
      </c>
      <c r="C59" s="19" t="n">
        <v>-0.09426469465163055</v>
      </c>
      <c r="D59" s="18" t="n">
        <v>45723</v>
      </c>
      <c r="E59" s="17" t="n">
        <v>54.94</v>
      </c>
      <c r="F59" s="18" t="n">
        <v>45846</v>
      </c>
      <c r="G59" s="17" t="n">
        <v>58.2364</v>
      </c>
      <c r="H59" s="19" t="n">
        <v>0.06</v>
      </c>
      <c r="I59" s="2" t="n">
        <v>81</v>
      </c>
      <c r="J59" s="2" t="n">
        <v>79</v>
      </c>
      <c r="K59" s="2" t="inlineStr">
        <is>
          <t>CLOSED</t>
        </is>
      </c>
      <c r="L59" s="2" t="inlineStr">
        <is>
          <t>TARGET</t>
        </is>
      </c>
      <c r="M59" s="17" t="n">
        <v>1666.666666666667</v>
      </c>
      <c r="N59" s="17" t="n">
        <v>100</v>
      </c>
      <c r="O59" s="17" t="n">
        <v>1666.666666666667</v>
      </c>
      <c r="P59" s="17" t="n">
        <v>100</v>
      </c>
      <c r="Q59" s="17" t="n"/>
      <c r="R59" s="19" t="n"/>
    </row>
    <row r="60">
      <c r="A60" s="2" t="inlineStr">
        <is>
          <t>MONQ50</t>
        </is>
      </c>
      <c r="B60" s="18" t="n">
        <v>45735</v>
      </c>
      <c r="C60" s="19" t="n">
        <v>-0.08405429950767163</v>
      </c>
      <c r="D60" s="18" t="n">
        <v>45736</v>
      </c>
      <c r="E60" s="17" t="n">
        <v>77.39</v>
      </c>
      <c r="F60" s="18" t="n">
        <v>45740</v>
      </c>
      <c r="G60" s="17" t="n">
        <v>82.0334</v>
      </c>
      <c r="H60" s="19" t="n">
        <v>0.06</v>
      </c>
      <c r="I60" s="2" t="n">
        <v>2</v>
      </c>
      <c r="J60" s="2" t="n">
        <v>0</v>
      </c>
      <c r="K60" s="2" t="inlineStr">
        <is>
          <t>CLOSED</t>
        </is>
      </c>
      <c r="L60" s="2" t="inlineStr">
        <is>
          <t>TARGET</t>
        </is>
      </c>
      <c r="M60" s="17" t="n">
        <v>1666.666666666667</v>
      </c>
      <c r="N60" s="17" t="n">
        <v>100</v>
      </c>
      <c r="O60" s="17" t="n">
        <v>1666.666666666667</v>
      </c>
      <c r="P60" s="17" t="n">
        <v>100</v>
      </c>
      <c r="Q60" s="17" t="n"/>
      <c r="R60" s="19" t="n"/>
    </row>
    <row r="61">
      <c r="A61" s="2" t="inlineStr">
        <is>
          <t>HNGSNGBEES</t>
        </is>
      </c>
      <c r="B61" s="18" t="n">
        <v>45737</v>
      </c>
      <c r="C61" s="19" t="n">
        <v>-0.03543297949862838</v>
      </c>
      <c r="D61" s="18" t="n">
        <v>45740</v>
      </c>
      <c r="E61" s="17" t="n">
        <v>421.6</v>
      </c>
      <c r="F61" s="18" t="n">
        <v>45868</v>
      </c>
      <c r="G61" s="17" t="n">
        <v>446.8960000000001</v>
      </c>
      <c r="H61" s="19" t="n">
        <v>0.06</v>
      </c>
      <c r="I61" s="2" t="n">
        <v>87</v>
      </c>
      <c r="J61" s="2" t="n">
        <v>82</v>
      </c>
      <c r="K61" s="2" t="inlineStr">
        <is>
          <t>CLOSED</t>
        </is>
      </c>
      <c r="L61" s="2" t="inlineStr">
        <is>
          <t>TARGET</t>
        </is>
      </c>
      <c r="M61" s="17" t="n">
        <v>1666.666666666667</v>
      </c>
      <c r="N61" s="17" t="n">
        <v>100</v>
      </c>
      <c r="O61" s="17" t="n">
        <v>1666.666666666667</v>
      </c>
      <c r="P61" s="17" t="n">
        <v>100</v>
      </c>
      <c r="Q61" s="17" t="n"/>
      <c r="R61" s="19" t="n"/>
    </row>
    <row r="62">
      <c r="A62" s="2" t="inlineStr">
        <is>
          <t>MAHKTECH</t>
        </is>
      </c>
      <c r="B62" s="18" t="n">
        <v>45740</v>
      </c>
      <c r="C62" s="19" t="n">
        <v>-0.05427485875150117</v>
      </c>
      <c r="D62" s="18" t="n">
        <v>45741</v>
      </c>
      <c r="E62" s="17" t="n">
        <v>24</v>
      </c>
      <c r="F62" s="18" t="n">
        <v>45874</v>
      </c>
      <c r="G62" s="17" t="n">
        <v>23.68</v>
      </c>
      <c r="H62" s="19" t="n">
        <v>-0.01333333333333334</v>
      </c>
      <c r="I62" s="2" t="n"/>
      <c r="J62" s="2" t="n"/>
      <c r="K62" s="2" t="inlineStr">
        <is>
          <t>CLOSED</t>
        </is>
      </c>
      <c r="L62" s="2" t="inlineStr">
        <is>
          <t>MAX HOLD</t>
        </is>
      </c>
      <c r="M62" s="17" t="n">
        <v>1666.666666666667</v>
      </c>
      <c r="N62" s="17" t="n">
        <v>-22.22222222222224</v>
      </c>
      <c r="O62" s="17" t="n">
        <v>1666.666666666667</v>
      </c>
      <c r="P62" s="17" t="n">
        <v>-22.22222222222217</v>
      </c>
      <c r="Q62" s="17" t="n"/>
      <c r="R62" s="19" t="n"/>
    </row>
    <row r="63">
      <c r="A63" s="2" t="inlineStr">
        <is>
          <t>MONQ50</t>
        </is>
      </c>
      <c r="B63" s="18" t="n">
        <v>45763</v>
      </c>
      <c r="C63" s="19" t="n">
        <v>-0.08692383936352091</v>
      </c>
      <c r="D63" s="18" t="n">
        <v>45764</v>
      </c>
      <c r="E63" s="17" t="n">
        <v>67.94</v>
      </c>
      <c r="F63" s="18" t="n">
        <v>45786</v>
      </c>
      <c r="G63" s="17" t="n">
        <v>72.0164</v>
      </c>
      <c r="H63" s="19" t="n">
        <v>0.06</v>
      </c>
      <c r="I63" s="2" t="n">
        <v>14</v>
      </c>
      <c r="J63" s="2" t="n">
        <v>0</v>
      </c>
      <c r="K63" s="2" t="inlineStr">
        <is>
          <t>CLOSED</t>
        </is>
      </c>
      <c r="L63" s="2" t="inlineStr">
        <is>
          <t>TARGET</t>
        </is>
      </c>
      <c r="M63" s="17" t="n">
        <v>1666.666666666667</v>
      </c>
      <c r="N63" s="17" t="n">
        <v>100</v>
      </c>
      <c r="O63" s="17" t="n">
        <v>1666.666666666667</v>
      </c>
      <c r="P63" s="17" t="n">
        <v>100</v>
      </c>
      <c r="Q63" s="17" t="n"/>
      <c r="R63" s="19" t="n"/>
    </row>
    <row r="64">
      <c r="A64" s="2" t="inlineStr">
        <is>
          <t>PSUBNKBEES</t>
        </is>
      </c>
      <c r="B64" s="18" t="n">
        <v>45783</v>
      </c>
      <c r="C64" s="19" t="n">
        <v>-0.03293271241738949</v>
      </c>
      <c r="D64" s="18" t="n">
        <v>45784</v>
      </c>
      <c r="E64" s="17" t="n">
        <v>69.27</v>
      </c>
      <c r="F64" s="18" t="n">
        <v>45791</v>
      </c>
      <c r="G64" s="17" t="n">
        <v>73.42619999999999</v>
      </c>
      <c r="H64" s="19" t="n">
        <v>0.06</v>
      </c>
      <c r="I64" s="2" t="n">
        <v>5</v>
      </c>
      <c r="J64" s="2" t="n">
        <v>3</v>
      </c>
      <c r="K64" s="2" t="inlineStr">
        <is>
          <t>CLOSED</t>
        </is>
      </c>
      <c r="L64" s="2" t="inlineStr">
        <is>
          <t>TARGET</t>
        </is>
      </c>
      <c r="M64" s="17" t="n">
        <v>1666.666666666667</v>
      </c>
      <c r="N64" s="17" t="n">
        <v>100</v>
      </c>
      <c r="O64" s="17" t="n">
        <v>1666.666666666667</v>
      </c>
      <c r="P64" s="17" t="n">
        <v>100</v>
      </c>
      <c r="Q64" s="17" t="n"/>
      <c r="R64" s="19" t="n"/>
    </row>
    <row r="65">
      <c r="A65" s="2" t="inlineStr">
        <is>
          <t>FMCGIETF</t>
        </is>
      </c>
      <c r="B65" s="18" t="n">
        <v>45821</v>
      </c>
      <c r="C65" s="19" t="n">
        <v>-0.02133822860703633</v>
      </c>
      <c r="D65" s="18" t="n">
        <v>45824</v>
      </c>
      <c r="E65" s="17" t="n">
        <v>59.3</v>
      </c>
      <c r="F65" s="18" t="n">
        <v>45954</v>
      </c>
      <c r="G65" s="17" t="n">
        <v>60.06</v>
      </c>
      <c r="H65" s="19" t="n">
        <v>0.01281618887015186</v>
      </c>
      <c r="I65" s="2" t="n"/>
      <c r="J65" s="2" t="n">
        <v>25</v>
      </c>
      <c r="K65" s="2" t="inlineStr">
        <is>
          <t>CLOSED</t>
        </is>
      </c>
      <c r="L65" s="2" t="inlineStr">
        <is>
          <t>MAX HOLD</t>
        </is>
      </c>
      <c r="M65" s="17" t="n">
        <v>1666.666666666667</v>
      </c>
      <c r="N65" s="17" t="n">
        <v>21.36031478358643</v>
      </c>
      <c r="O65" s="17" t="n">
        <v>1766.666666666667</v>
      </c>
      <c r="P65" s="17" t="n">
        <v>22.6419336706017</v>
      </c>
      <c r="Q65" s="17" t="n"/>
      <c r="R65" s="19" t="n"/>
    </row>
    <row r="66">
      <c r="A66" s="2" t="inlineStr">
        <is>
          <t>PSUBNKBEES</t>
        </is>
      </c>
      <c r="B66" s="18" t="n">
        <v>45827</v>
      </c>
      <c r="C66" s="19" t="n">
        <v>-0.0312212152247709</v>
      </c>
      <c r="D66" s="18" t="n">
        <v>45828</v>
      </c>
      <c r="E66" s="17" t="n">
        <v>75.20999999999999</v>
      </c>
      <c r="F66" s="18" t="n">
        <v>45835</v>
      </c>
      <c r="G66" s="17" t="n">
        <v>79.7226</v>
      </c>
      <c r="H66" s="19" t="n">
        <v>0.06</v>
      </c>
      <c r="I66" s="2" t="n">
        <v>5</v>
      </c>
      <c r="J66" s="2" t="n">
        <v>1</v>
      </c>
      <c r="K66" s="2" t="inlineStr">
        <is>
          <t>CLOSED</t>
        </is>
      </c>
      <c r="L66" s="2" t="inlineStr">
        <is>
          <t>TARGET</t>
        </is>
      </c>
      <c r="M66" s="17" t="n">
        <v>1666.666666666667</v>
      </c>
      <c r="N66" s="17" t="n">
        <v>100</v>
      </c>
      <c r="O66" s="17" t="n">
        <v>1766.666666666667</v>
      </c>
      <c r="P66" s="17" t="n">
        <v>106</v>
      </c>
      <c r="Q66" s="17" t="n"/>
      <c r="R66" s="19" t="n"/>
    </row>
    <row r="67">
      <c r="A67" s="2" t="inlineStr">
        <is>
          <t>MOREALTY</t>
        </is>
      </c>
      <c r="B67" s="18" t="n">
        <v>45838</v>
      </c>
      <c r="C67" s="19" t="n">
        <v>-0.02046203310443389</v>
      </c>
      <c r="D67" s="18" t="n">
        <v>45839</v>
      </c>
      <c r="E67" s="17" t="n">
        <v>99.09999999999999</v>
      </c>
      <c r="F67" s="18" t="n">
        <v>45972</v>
      </c>
      <c r="G67" s="17" t="n">
        <v>94.45999999999999</v>
      </c>
      <c r="H67" s="19" t="n">
        <v>-0.04682139253279517</v>
      </c>
      <c r="I67" s="2" t="n"/>
      <c r="J67" s="2" t="n"/>
      <c r="K67" s="2" t="inlineStr">
        <is>
          <t>CLOSED</t>
        </is>
      </c>
      <c r="L67" s="2" t="inlineStr">
        <is>
          <t>MAX HOLD</t>
        </is>
      </c>
      <c r="M67" s="17" t="n">
        <v>1666.666666666667</v>
      </c>
      <c r="N67" s="17" t="n">
        <v>-78.03565422132527</v>
      </c>
      <c r="O67" s="17" t="n">
        <v>1766.666666666667</v>
      </c>
      <c r="P67" s="17" t="n">
        <v>-82.71779347460483</v>
      </c>
      <c r="Q67" s="17" t="n"/>
      <c r="R67" s="19" t="n"/>
    </row>
    <row r="68">
      <c r="A68" s="2" t="inlineStr">
        <is>
          <t>MODEFENCE</t>
        </is>
      </c>
      <c r="B68" s="18" t="n">
        <v>45849</v>
      </c>
      <c r="C68" s="19" t="n">
        <v>-0.03422850327104503</v>
      </c>
      <c r="D68" s="18" t="n">
        <v>45852</v>
      </c>
      <c r="E68" s="17" t="n">
        <v>95.84999999999999</v>
      </c>
      <c r="F68" s="18" t="n">
        <v>45985</v>
      </c>
      <c r="G68" s="17" t="n">
        <v>86.95</v>
      </c>
      <c r="H68" s="19" t="n">
        <v>-0.09285341679707869</v>
      </c>
      <c r="I68" s="2" t="n"/>
      <c r="J68" s="2" t="n"/>
      <c r="K68" s="2" t="inlineStr">
        <is>
          <t>CLOSED</t>
        </is>
      </c>
      <c r="L68" s="2" t="inlineStr">
        <is>
          <t>MAX HOLD</t>
        </is>
      </c>
      <c r="M68" s="17" t="n">
        <v>1666.666666666667</v>
      </c>
      <c r="N68" s="17" t="n">
        <v>-154.7556946617978</v>
      </c>
      <c r="O68" s="17" t="n">
        <v>1766.666666666667</v>
      </c>
      <c r="P68" s="17" t="n">
        <v>-164.0410363415058</v>
      </c>
      <c r="Q68" s="17" t="n"/>
      <c r="R68" s="19" t="n"/>
    </row>
    <row r="69">
      <c r="A69" s="2" t="inlineStr">
        <is>
          <t>BANKNIFTY1</t>
        </is>
      </c>
      <c r="B69" s="18" t="n">
        <v>45901</v>
      </c>
      <c r="C69" s="19" t="n">
        <v>-0.02043037174851689</v>
      </c>
      <c r="D69" s="18" t="n">
        <v>45902</v>
      </c>
      <c r="E69" s="17" t="n">
        <v>55.81</v>
      </c>
      <c r="F69" s="18" t="n">
        <v>45946</v>
      </c>
      <c r="G69" s="17" t="n">
        <v>59.15860000000001</v>
      </c>
      <c r="H69" s="19" t="n">
        <v>0.06</v>
      </c>
      <c r="I69" s="2" t="n">
        <v>31</v>
      </c>
      <c r="J69" s="2" t="n">
        <v>11</v>
      </c>
      <c r="K69" s="2" t="inlineStr">
        <is>
          <t>CLOSED</t>
        </is>
      </c>
      <c r="L69" s="2" t="inlineStr">
        <is>
          <t>TARGET</t>
        </is>
      </c>
      <c r="M69" s="17" t="n">
        <v>1666.666666666667</v>
      </c>
      <c r="N69" s="17" t="n">
        <v>100</v>
      </c>
      <c r="O69" s="17" t="n">
        <v>1766.666666666667</v>
      </c>
      <c r="P69" s="17" t="n">
        <v>106</v>
      </c>
      <c r="Q69" s="17" t="n"/>
      <c r="R69" s="19" t="n"/>
    </row>
    <row r="70">
      <c r="A70" s="2" t="inlineStr">
        <is>
          <t>HDFCNIFIT</t>
        </is>
      </c>
      <c r="B70" s="18" t="n">
        <v>45908</v>
      </c>
      <c r="C70" s="19" t="n">
        <v>-0.02369629719952845</v>
      </c>
      <c r="D70" s="18" t="n">
        <v>45909</v>
      </c>
      <c r="E70" s="17" t="n">
        <v>36.5</v>
      </c>
      <c r="F70" s="18" t="n">
        <v>45918</v>
      </c>
      <c r="G70" s="17" t="n">
        <v>38.69</v>
      </c>
      <c r="H70" s="19" t="n">
        <v>0.06</v>
      </c>
      <c r="I70" s="2" t="n">
        <v>7</v>
      </c>
      <c r="J70" s="2" t="n">
        <v>0</v>
      </c>
      <c r="K70" s="2" t="inlineStr">
        <is>
          <t>CLOSED</t>
        </is>
      </c>
      <c r="L70" s="2" t="inlineStr">
        <is>
          <t>TARGET</t>
        </is>
      </c>
      <c r="M70" s="17" t="n">
        <v>1666.666666666667</v>
      </c>
      <c r="N70" s="17" t="n">
        <v>100</v>
      </c>
      <c r="O70" s="17" t="n">
        <v>1766.666666666667</v>
      </c>
      <c r="P70" s="17" t="n">
        <v>106</v>
      </c>
      <c r="Q70" s="17" t="n"/>
      <c r="R70" s="19" t="n"/>
    </row>
    <row r="71">
      <c r="A71" s="2" t="inlineStr">
        <is>
          <t>HDFCNIFIT</t>
        </is>
      </c>
      <c r="B71" s="18" t="n">
        <v>45925</v>
      </c>
      <c r="C71" s="19" t="n">
        <v>-0.03356388397404971</v>
      </c>
      <c r="D71" s="18" t="n">
        <v>45926</v>
      </c>
      <c r="E71" s="17" t="n">
        <v>36.23</v>
      </c>
      <c r="F71" s="18" t="n">
        <v>45973</v>
      </c>
      <c r="G71" s="17" t="n">
        <v>38.4038</v>
      </c>
      <c r="H71" s="19" t="n">
        <v>0.06</v>
      </c>
      <c r="I71" s="2" t="n">
        <v>30</v>
      </c>
      <c r="J71" s="2" t="n">
        <v>8</v>
      </c>
      <c r="K71" s="2" t="inlineStr">
        <is>
          <t>CLOSED</t>
        </is>
      </c>
      <c r="L71" s="2" t="inlineStr">
        <is>
          <t>TARGET</t>
        </is>
      </c>
      <c r="M71" s="17" t="n">
        <v>1666.666666666667</v>
      </c>
      <c r="N71" s="17" t="n">
        <v>100</v>
      </c>
      <c r="O71" s="17" t="n">
        <v>1766.666666666667</v>
      </c>
      <c r="P71" s="17" t="n">
        <v>106</v>
      </c>
      <c r="Q71" s="17" t="n"/>
      <c r="R71" s="19" t="n"/>
    </row>
    <row r="72">
      <c r="A72" s="2" t="inlineStr">
        <is>
          <t>ITIETF</t>
        </is>
      </c>
      <c r="B72" s="18" t="n">
        <v>45929</v>
      </c>
      <c r="C72" s="19" t="n">
        <v>-0.04528795472499579</v>
      </c>
      <c r="D72" s="18" t="n">
        <v>45930</v>
      </c>
      <c r="E72" s="17" t="n">
        <v>36.86</v>
      </c>
      <c r="F72" s="18" t="n">
        <v>45953</v>
      </c>
      <c r="G72" s="17" t="n">
        <v>39.0716</v>
      </c>
      <c r="H72" s="19" t="n">
        <v>0.06</v>
      </c>
      <c r="I72" s="2" t="n">
        <v>15</v>
      </c>
      <c r="J72" s="2" t="n">
        <v>4</v>
      </c>
      <c r="K72" s="2" t="inlineStr">
        <is>
          <t>CLOSED</t>
        </is>
      </c>
      <c r="L72" s="2" t="inlineStr">
        <is>
          <t>TARGET</t>
        </is>
      </c>
      <c r="M72" s="17" t="n">
        <v>1666.666666666667</v>
      </c>
      <c r="N72" s="17" t="n">
        <v>100</v>
      </c>
      <c r="O72" s="17" t="n">
        <v>1506.510416666667</v>
      </c>
      <c r="P72" s="17" t="n">
        <v>90.390625</v>
      </c>
      <c r="Q72" s="17" t="n"/>
      <c r="R72" s="19" t="n"/>
    </row>
    <row r="73">
      <c r="A73" s="2" t="inlineStr">
        <is>
          <t>MAHKTECH</t>
        </is>
      </c>
      <c r="B73" s="18" t="n">
        <v>45945</v>
      </c>
      <c r="C73" s="19" t="n">
        <v>-0.03897344891133709</v>
      </c>
      <c r="D73" s="18" t="n">
        <v>45946</v>
      </c>
      <c r="E73" s="17" t="n">
        <v>27.19</v>
      </c>
      <c r="F73" s="18" t="n">
        <v>46078</v>
      </c>
      <c r="G73" s="17" t="n">
        <v>24.71</v>
      </c>
      <c r="H73" s="19" t="n">
        <v>-0.09121000367782274</v>
      </c>
      <c r="I73" s="2" t="n"/>
      <c r="J73" s="2" t="n">
        <v>8</v>
      </c>
      <c r="K73" s="2" t="inlineStr">
        <is>
          <t>CLOSED</t>
        </is>
      </c>
      <c r="L73" s="2" t="inlineStr">
        <is>
          <t>MAX HOLD</t>
        </is>
      </c>
      <c r="M73" s="17" t="n">
        <v>1666.666666666667</v>
      </c>
      <c r="N73" s="17" t="n">
        <v>-152.0166727963712</v>
      </c>
      <c r="O73" s="17" t="n">
        <v>1766.666666666667</v>
      </c>
      <c r="P73" s="17" t="n">
        <v>-161.1376731641535</v>
      </c>
      <c r="Q73" s="17" t="n"/>
      <c r="R73" s="19" t="n"/>
    </row>
    <row r="74">
      <c r="A74" s="2" t="inlineStr">
        <is>
          <t>MONQ50</t>
        </is>
      </c>
      <c r="B74" s="18" t="n">
        <v>45967</v>
      </c>
      <c r="C74" s="19" t="n">
        <v>-0.03963566215221848</v>
      </c>
      <c r="D74" s="18" t="n">
        <v>45968</v>
      </c>
      <c r="E74" s="17" t="n">
        <v>97.39</v>
      </c>
      <c r="F74" s="18" t="n">
        <v>46099</v>
      </c>
      <c r="G74" s="17" t="n">
        <v>95.98</v>
      </c>
      <c r="H74" s="19" t="n">
        <v>-0.01447787247150628</v>
      </c>
      <c r="I74" s="2" t="n"/>
      <c r="J74" s="2" t="n">
        <v>1</v>
      </c>
      <c r="K74" s="2" t="inlineStr">
        <is>
          <t>CLOSED</t>
        </is>
      </c>
      <c r="L74" s="2" t="inlineStr">
        <is>
          <t>MAX HOLD</t>
        </is>
      </c>
      <c r="M74" s="17" t="n">
        <v>1666.666666666667</v>
      </c>
      <c r="N74" s="17" t="n">
        <v>-24.12978745251047</v>
      </c>
      <c r="O74" s="17" t="n">
        <v>1455.638756523713</v>
      </c>
      <c r="P74" s="17" t="n">
        <v>-21.07455228153231</v>
      </c>
      <c r="Q74" s="17" t="n"/>
      <c r="R74" s="19" t="n"/>
    </row>
    <row r="75">
      <c r="A75" s="2" t="inlineStr">
        <is>
          <t>MON100</t>
        </is>
      </c>
      <c r="B75" s="18" t="n">
        <v>45978</v>
      </c>
      <c r="C75" s="19" t="n">
        <v>-0.02118659019816632</v>
      </c>
      <c r="D75" s="18" t="n">
        <v>45979</v>
      </c>
      <c r="E75" s="17" t="n">
        <v>236.48</v>
      </c>
      <c r="F75" s="18" t="n">
        <v>46111</v>
      </c>
      <c r="G75" s="17" t="n">
        <v>231.54</v>
      </c>
      <c r="H75" s="19" t="n">
        <v>-0.02088971583220568</v>
      </c>
      <c r="I75" s="2" t="n"/>
      <c r="J75" s="2" t="n"/>
      <c r="K75" s="2" t="inlineStr">
        <is>
          <t>CLOSED</t>
        </is>
      </c>
      <c r="L75" s="2" t="inlineStr">
        <is>
          <t>MAX HOLD</t>
        </is>
      </c>
      <c r="M75" s="17" t="n">
        <v>1666.666666666667</v>
      </c>
      <c r="N75" s="17" t="n">
        <v>-34.81619305367613</v>
      </c>
      <c r="O75" s="17" t="n">
        <v>1766.666666666667</v>
      </c>
      <c r="P75" s="17" t="n">
        <v>-36.90516463689664</v>
      </c>
      <c r="Q75" s="17" t="n"/>
      <c r="R75" s="19" t="n"/>
    </row>
    <row r="76">
      <c r="A76" s="2" t="inlineStr">
        <is>
          <t>MASPTOP50</t>
        </is>
      </c>
      <c r="B76" s="18" t="n">
        <v>45980</v>
      </c>
      <c r="C76" s="19" t="n">
        <v>-0.03560374836491535</v>
      </c>
      <c r="D76" s="18" t="n">
        <v>45981</v>
      </c>
      <c r="E76" s="17" t="n">
        <v>68.48</v>
      </c>
      <c r="F76" s="18" t="n">
        <v>46051</v>
      </c>
      <c r="G76" s="17" t="n">
        <v>72.58880000000001</v>
      </c>
      <c r="H76" s="19" t="n">
        <v>0.06</v>
      </c>
      <c r="I76" s="2" t="n">
        <v>47</v>
      </c>
      <c r="J76" s="2" t="n">
        <v>5</v>
      </c>
      <c r="K76" s="2" t="inlineStr">
        <is>
          <t>CLOSED</t>
        </is>
      </c>
      <c r="L76" s="2" t="inlineStr">
        <is>
          <t>TARGET</t>
        </is>
      </c>
      <c r="M76" s="17" t="n">
        <v>1666.666666666667</v>
      </c>
      <c r="N76" s="17" t="n">
        <v>100</v>
      </c>
      <c r="O76" s="17" t="n">
        <v>1766.666666666667</v>
      </c>
      <c r="P76" s="17" t="n">
        <v>106</v>
      </c>
      <c r="Q76" s="17" t="n"/>
      <c r="R76" s="19" t="n"/>
    </row>
    <row r="77">
      <c r="A77" s="2" t="inlineStr">
        <is>
          <t>MOREALTY</t>
        </is>
      </c>
      <c r="B77" s="18" t="n">
        <v>45985</v>
      </c>
      <c r="C77" s="19" t="n">
        <v>-0.05596505306343701</v>
      </c>
      <c r="D77" s="18" t="n">
        <v>45986</v>
      </c>
      <c r="E77" s="17" t="n">
        <v>89.27</v>
      </c>
      <c r="F77" s="18" t="n">
        <v>46120</v>
      </c>
      <c r="G77" s="17" t="n">
        <v>74.56999999999999</v>
      </c>
      <c r="H77" s="19" t="n">
        <v>-0.1646689817407864</v>
      </c>
      <c r="I77" s="2" t="n"/>
      <c r="J77" s="2" t="n">
        <v>29</v>
      </c>
      <c r="K77" s="2" t="inlineStr">
        <is>
          <t>CLOSED</t>
        </is>
      </c>
      <c r="L77" s="2" t="inlineStr">
        <is>
          <t>MAX HOLD</t>
        </is>
      </c>
      <c r="M77" s="17" t="n">
        <v>1666.666666666667</v>
      </c>
      <c r="N77" s="17" t="n">
        <v>-274.4483029013107</v>
      </c>
      <c r="O77" s="17" t="n">
        <v>1766.666666666667</v>
      </c>
      <c r="P77" s="17" t="n">
        <v>-290.9152010753894</v>
      </c>
      <c r="Q77" s="17" t="n"/>
      <c r="R77" s="19" t="n"/>
    </row>
    <row r="78">
      <c r="A78" s="2" t="inlineStr">
        <is>
          <t>MODEFENCE</t>
        </is>
      </c>
      <c r="B78" s="18" t="n">
        <v>45996</v>
      </c>
      <c r="C78" s="19" t="n">
        <v>-0.03357838715497033</v>
      </c>
      <c r="D78" s="18" t="n">
        <v>45999</v>
      </c>
      <c r="E78" s="17" t="n">
        <v>86.48999999999999</v>
      </c>
      <c r="F78" s="18" t="n">
        <v>46051</v>
      </c>
      <c r="G78" s="17" t="n">
        <v>91.6794</v>
      </c>
      <c r="H78" s="19" t="n">
        <v>0.06</v>
      </c>
      <c r="I78" s="2" t="n">
        <v>35</v>
      </c>
      <c r="J78" s="2" t="n">
        <v>25</v>
      </c>
      <c r="K78" s="2" t="inlineStr">
        <is>
          <t>CLOSED</t>
        </is>
      </c>
      <c r="L78" s="2" t="inlineStr">
        <is>
          <t>TARGET</t>
        </is>
      </c>
      <c r="M78" s="17" t="n">
        <v>1666.666666666667</v>
      </c>
      <c r="N78" s="17" t="n">
        <v>100</v>
      </c>
      <c r="O78" s="17" t="n">
        <v>1766.666666666667</v>
      </c>
      <c r="P78" s="17" t="n">
        <v>106</v>
      </c>
      <c r="Q78" s="17" t="n"/>
      <c r="R78" s="19" t="n"/>
    </row>
    <row r="79">
      <c r="A79" s="2" t="inlineStr">
        <is>
          <t>HNGSNGBEES</t>
        </is>
      </c>
      <c r="B79" s="18" t="n">
        <v>46020</v>
      </c>
      <c r="C79" s="19" t="n">
        <v>-0.02914166636373188</v>
      </c>
      <c r="D79" s="18" t="n">
        <v>46021</v>
      </c>
      <c r="E79" s="17" t="n">
        <v>494.99</v>
      </c>
      <c r="F79" s="18" t="n">
        <v>46029</v>
      </c>
      <c r="G79" s="17" t="n">
        <v>524.6894000000001</v>
      </c>
      <c r="H79" s="19" t="n">
        <v>0.06</v>
      </c>
      <c r="I79" s="2" t="n">
        <v>6</v>
      </c>
      <c r="J79" s="2" t="n">
        <v>4</v>
      </c>
      <c r="K79" s="2" t="inlineStr">
        <is>
          <t>CLOSED</t>
        </is>
      </c>
      <c r="L79" s="2" t="inlineStr">
        <is>
          <t>TARGET</t>
        </is>
      </c>
      <c r="M79" s="17" t="n">
        <v>1666.666666666667</v>
      </c>
      <c r="N79" s="17" t="n">
        <v>100</v>
      </c>
      <c r="O79" s="17" t="n">
        <v>1766.666666666667</v>
      </c>
      <c r="P79" s="17" t="n">
        <v>106</v>
      </c>
      <c r="Q79" s="17" t="n"/>
      <c r="R79" s="19" t="n"/>
    </row>
    <row r="80">
      <c r="A80" s="2" t="inlineStr">
        <is>
          <t>FMCGIETF</t>
        </is>
      </c>
      <c r="B80" s="18" t="n">
        <v>46024</v>
      </c>
      <c r="C80" s="19" t="n">
        <v>-0.02908476081498806</v>
      </c>
      <c r="D80" s="18" t="n">
        <v>46027</v>
      </c>
      <c r="E80" s="17" t="n">
        <v>56.52</v>
      </c>
      <c r="F80" s="18" t="n">
        <v>46162</v>
      </c>
      <c r="G80" s="17" t="n">
        <v>54.11</v>
      </c>
      <c r="H80" s="19" t="n">
        <v>-0.04263977353149334</v>
      </c>
      <c r="I80" s="2" t="n"/>
      <c r="J80" s="2" t="n"/>
      <c r="K80" s="2" t="inlineStr">
        <is>
          <t>CLOSED</t>
        </is>
      </c>
      <c r="L80" s="2" t="inlineStr">
        <is>
          <t>MAX HOLD</t>
        </is>
      </c>
      <c r="M80" s="17" t="n">
        <v>1666.666666666667</v>
      </c>
      <c r="N80" s="17" t="n">
        <v>-71.06628921915558</v>
      </c>
      <c r="O80" s="17" t="n">
        <v>1766.666666666667</v>
      </c>
      <c r="P80" s="17" t="n">
        <v>-75.33026657230494</v>
      </c>
      <c r="Q80" s="17" t="n"/>
      <c r="R80" s="19" t="n"/>
    </row>
    <row r="81">
      <c r="A81" s="2" t="inlineStr">
        <is>
          <t>OILIETF</t>
        </is>
      </c>
      <c r="B81" s="18" t="n">
        <v>46030</v>
      </c>
      <c r="C81" s="19" t="n">
        <v>-0.0321252059308073</v>
      </c>
      <c r="D81" s="18" t="n">
        <v>46031</v>
      </c>
      <c r="E81" s="17" t="n">
        <v>11.45</v>
      </c>
      <c r="F81" s="18" t="n">
        <v>46056</v>
      </c>
      <c r="G81" s="17" t="n">
        <v>12.137</v>
      </c>
      <c r="H81" s="19" t="n">
        <v>0.06</v>
      </c>
      <c r="I81" s="2" t="n">
        <v>16</v>
      </c>
      <c r="J81" s="2" t="n">
        <v>0</v>
      </c>
      <c r="K81" s="2" t="inlineStr">
        <is>
          <t>CLOSED</t>
        </is>
      </c>
      <c r="L81" s="2" t="inlineStr">
        <is>
          <t>TARGET</t>
        </is>
      </c>
      <c r="M81" s="17" t="n">
        <v>1666.666666666667</v>
      </c>
      <c r="N81" s="17" t="n">
        <v>100</v>
      </c>
      <c r="O81" s="17" t="n">
        <v>1766.666666666667</v>
      </c>
      <c r="P81" s="17" t="n">
        <v>106</v>
      </c>
      <c r="Q81" s="17" t="n"/>
      <c r="R81" s="19" t="n"/>
    </row>
    <row r="82">
      <c r="A82" s="2" t="inlineStr">
        <is>
          <t>SMALLCAP</t>
        </is>
      </c>
      <c r="B82" s="18" t="n">
        <v>46034</v>
      </c>
      <c r="C82" s="19" t="n">
        <v>-0.03142404810988736</v>
      </c>
      <c r="D82" s="18" t="n">
        <v>46035</v>
      </c>
      <c r="E82" s="17" t="n">
        <v>42.73</v>
      </c>
      <c r="F82" s="18" t="n">
        <v>46148</v>
      </c>
      <c r="G82" s="17" t="n">
        <v>45.2938</v>
      </c>
      <c r="H82" s="19" t="n">
        <v>0.06</v>
      </c>
      <c r="I82" s="2" t="n">
        <v>74</v>
      </c>
      <c r="J82" s="2" t="n">
        <v>14</v>
      </c>
      <c r="K82" s="2" t="inlineStr">
        <is>
          <t>CLOSED</t>
        </is>
      </c>
      <c r="L82" s="2" t="inlineStr">
        <is>
          <t>TARGET</t>
        </is>
      </c>
      <c r="M82" s="17" t="n">
        <v>1666.666666666667</v>
      </c>
      <c r="N82" s="17" t="n">
        <v>100</v>
      </c>
      <c r="O82" s="17" t="n">
        <v>1766.666666666667</v>
      </c>
      <c r="P82" s="17" t="n">
        <v>106</v>
      </c>
      <c r="Q82" s="17" t="n"/>
      <c r="R82" s="19" t="n"/>
    </row>
    <row r="83">
      <c r="A83" s="2" t="inlineStr">
        <is>
          <t>INFRAIETF</t>
        </is>
      </c>
      <c r="B83" s="18" t="n">
        <v>46035</v>
      </c>
      <c r="C83" s="19" t="n">
        <v>-0.03208687132593082</v>
      </c>
      <c r="D83" s="18" t="n">
        <v>46036</v>
      </c>
      <c r="E83" s="17" t="n">
        <v>95.01000000000001</v>
      </c>
      <c r="F83" s="18" t="n">
        <v>46076</v>
      </c>
      <c r="G83" s="17" t="n">
        <v>100.7106</v>
      </c>
      <c r="H83" s="19" t="n">
        <v>0.06</v>
      </c>
      <c r="I83" s="2" t="n">
        <v>27</v>
      </c>
      <c r="J83" s="2" t="n">
        <v>13</v>
      </c>
      <c r="K83" s="2" t="inlineStr">
        <is>
          <t>CLOSED</t>
        </is>
      </c>
      <c r="L83" s="2" t="inlineStr">
        <is>
          <t>TARGET</t>
        </is>
      </c>
      <c r="M83" s="17" t="n">
        <v>1666.666666666667</v>
      </c>
      <c r="N83" s="17" t="n">
        <v>100</v>
      </c>
      <c r="O83" s="17" t="n">
        <v>1766.666666666667</v>
      </c>
      <c r="P83" s="17" t="n">
        <v>106</v>
      </c>
      <c r="Q83" s="17" t="n"/>
      <c r="R83" s="19" t="n"/>
    </row>
    <row r="84">
      <c r="A84" s="2" t="inlineStr">
        <is>
          <t>ITIETF</t>
        </is>
      </c>
      <c r="B84" s="18" t="n">
        <v>46062</v>
      </c>
      <c r="C84" s="19" t="n">
        <v>-0.05795101345269946</v>
      </c>
      <c r="D84" s="18" t="n">
        <v>46063</v>
      </c>
      <c r="E84" s="17" t="n">
        <v>39.46</v>
      </c>
      <c r="F84" s="18" t="n">
        <v>46198</v>
      </c>
      <c r="G84" s="17" t="n">
        <v>30.37</v>
      </c>
      <c r="H84" s="19" t="n">
        <v>-0.2303598580841358</v>
      </c>
      <c r="I84" s="2" t="n"/>
      <c r="J84" s="2" t="n"/>
      <c r="K84" s="2" t="inlineStr">
        <is>
          <t>CLOSED</t>
        </is>
      </c>
      <c r="L84" s="2" t="inlineStr">
        <is>
          <t>MAX HOLD</t>
        </is>
      </c>
      <c r="M84" s="17" t="n">
        <v>1666.666666666667</v>
      </c>
      <c r="N84" s="17" t="n">
        <v>-383.9330968068931</v>
      </c>
      <c r="O84" s="17" t="n">
        <v>1766.666666666667</v>
      </c>
      <c r="P84" s="17" t="n">
        <v>-406.9690826153067</v>
      </c>
      <c r="Q84" s="17" t="n"/>
      <c r="R84" s="19" t="n"/>
    </row>
    <row r="85">
      <c r="A85" s="2" t="inlineStr">
        <is>
          <t>HDFCNIFIT</t>
        </is>
      </c>
      <c r="B85" s="18" t="n">
        <v>46065</v>
      </c>
      <c r="C85" s="19" t="n">
        <v>-0.1106287935189975</v>
      </c>
      <c r="D85" s="18" t="n">
        <v>46066</v>
      </c>
      <c r="E85" s="17" t="n">
        <v>34.53</v>
      </c>
      <c r="F85" s="18" t="n">
        <v>46204</v>
      </c>
      <c r="G85" s="17" t="n">
        <v>27.53</v>
      </c>
      <c r="H85" s="19" t="n">
        <v>-0.2027222704894295</v>
      </c>
      <c r="I85" s="2" t="n"/>
      <c r="J85" s="2" t="n">
        <v>1</v>
      </c>
      <c r="K85" s="2" t="inlineStr">
        <is>
          <t>CLOSED</t>
        </is>
      </c>
      <c r="L85" s="2" t="inlineStr">
        <is>
          <t>MAX HOLD</t>
        </is>
      </c>
      <c r="M85" s="17" t="n">
        <v>1666.666666666667</v>
      </c>
      <c r="N85" s="17" t="n">
        <v>-337.8704508157158</v>
      </c>
      <c r="O85" s="17" t="n">
        <v>1766.666666666667</v>
      </c>
      <c r="P85" s="17" t="n">
        <v>-358.1426778646587</v>
      </c>
      <c r="Q85" s="17" t="n"/>
      <c r="R85" s="19" t="n"/>
    </row>
    <row r="86">
      <c r="A86" s="2" t="inlineStr">
        <is>
          <t>TNIDETF</t>
        </is>
      </c>
      <c r="B86" s="18" t="n">
        <v>46086</v>
      </c>
      <c r="C86" s="19" t="n">
        <v>-0.07657411298725965</v>
      </c>
      <c r="D86" s="18" t="n">
        <v>46087</v>
      </c>
      <c r="E86" s="17" t="n">
        <v>80.59999999999999</v>
      </c>
      <c r="F86" s="18" t="n">
        <v>46216</v>
      </c>
      <c r="G86" s="17" t="n">
        <v>85.43599999999999</v>
      </c>
      <c r="H86" s="19" t="n">
        <v>0.06</v>
      </c>
      <c r="I86" s="2" t="n">
        <v>84</v>
      </c>
      <c r="J86" s="2" t="n">
        <v>23</v>
      </c>
      <c r="K86" s="2" t="inlineStr">
        <is>
          <t>CLOSED</t>
        </is>
      </c>
      <c r="L86" s="2" t="inlineStr">
        <is>
          <t>TARGET</t>
        </is>
      </c>
      <c r="M86" s="17" t="n">
        <v>1666.666666666667</v>
      </c>
      <c r="N86" s="17" t="n">
        <v>100</v>
      </c>
      <c r="O86" s="17" t="n">
        <v>1766.666666666667</v>
      </c>
      <c r="P86" s="17" t="n">
        <v>106</v>
      </c>
      <c r="Q86" s="17" t="n"/>
      <c r="R86" s="19" t="n"/>
    </row>
    <row r="87">
      <c r="A87" s="2" t="inlineStr">
        <is>
          <t>AUTOIETF</t>
        </is>
      </c>
      <c r="B87" s="18" t="n">
        <v>46093</v>
      </c>
      <c r="C87" s="19" t="n">
        <v>-0.08807083766955359</v>
      </c>
      <c r="D87" s="18" t="n">
        <v>46094</v>
      </c>
      <c r="E87" s="17" t="n">
        <v>25.5</v>
      </c>
      <c r="F87" s="18" t="n">
        <v>46121</v>
      </c>
      <c r="G87" s="17" t="n">
        <v>27.03</v>
      </c>
      <c r="H87" s="19" t="n">
        <v>0.06</v>
      </c>
      <c r="I87" s="2" t="n">
        <v>16</v>
      </c>
      <c r="J87" s="2" t="n">
        <v>3</v>
      </c>
      <c r="K87" s="2" t="inlineStr">
        <is>
          <t>CLOSED</t>
        </is>
      </c>
      <c r="L87" s="2" t="inlineStr">
        <is>
          <t>TARGET</t>
        </is>
      </c>
      <c r="M87" s="17" t="n">
        <v>1666.666666666667</v>
      </c>
      <c r="N87" s="17" t="n">
        <v>100</v>
      </c>
      <c r="O87" s="17" t="n">
        <v>1766.666666666667</v>
      </c>
      <c r="P87" s="17" t="n">
        <v>106</v>
      </c>
      <c r="Q87" s="17" t="n"/>
      <c r="R87" s="19" t="n"/>
    </row>
    <row r="88">
      <c r="A88" s="2" t="inlineStr">
        <is>
          <t>HDFCPSUBK</t>
        </is>
      </c>
      <c r="B88" s="18" t="n">
        <v>46098</v>
      </c>
      <c r="C88" s="19" t="n">
        <v>-0.07856047046791112</v>
      </c>
      <c r="D88" s="18" t="n">
        <v>46099</v>
      </c>
      <c r="E88" s="17" t="n">
        <v>87.19</v>
      </c>
      <c r="F88" s="18" t="n">
        <v>46234</v>
      </c>
      <c r="G88" s="17" t="n">
        <v>84.61</v>
      </c>
      <c r="H88" s="19" t="n">
        <v>-0.0295905493749283</v>
      </c>
      <c r="I88" s="2" t="n"/>
      <c r="J88" s="2" t="n">
        <v>13</v>
      </c>
      <c r="K88" s="2" t="inlineStr">
        <is>
          <t>CLOSED</t>
        </is>
      </c>
      <c r="L88" s="2" t="inlineStr">
        <is>
          <t>MAX HOLD</t>
        </is>
      </c>
      <c r="M88" s="17" t="n">
        <v>1666.666666666667</v>
      </c>
      <c r="N88" s="17" t="n">
        <v>-49.31758229154716</v>
      </c>
      <c r="O88" s="17" t="n">
        <v>1766.666666666667</v>
      </c>
      <c r="P88" s="17" t="n">
        <v>-52.27663722904003</v>
      </c>
      <c r="Q88" s="17" t="n"/>
      <c r="R88" s="19" t="n"/>
    </row>
    <row r="89">
      <c r="A89" s="2" t="inlineStr">
        <is>
          <t>PSUBNKIETF</t>
        </is>
      </c>
      <c r="B89" s="18" t="n">
        <v>46100</v>
      </c>
      <c r="C89" s="19" t="n">
        <v>-0.08812272876106433</v>
      </c>
      <c r="D89" s="18" t="n">
        <v>46101</v>
      </c>
      <c r="E89" s="17" t="n">
        <v>85.98999999999999</v>
      </c>
      <c r="F89" s="18" t="n">
        <v>46132</v>
      </c>
      <c r="G89" s="17" t="n">
        <v>91.1494</v>
      </c>
      <c r="H89" s="19" t="n">
        <v>0.06</v>
      </c>
      <c r="I89" s="2" t="n">
        <v>17</v>
      </c>
      <c r="J89" s="2" t="n">
        <v>10</v>
      </c>
      <c r="K89" s="2" t="inlineStr">
        <is>
          <t>CLOSED</t>
        </is>
      </c>
      <c r="L89" s="2" t="inlineStr">
        <is>
          <t>TARGET</t>
        </is>
      </c>
      <c r="M89" s="17" t="n">
        <v>1666.666666666667</v>
      </c>
      <c r="N89" s="17" t="n">
        <v>100</v>
      </c>
      <c r="O89" s="17" t="n">
        <v>1698.367732362067</v>
      </c>
      <c r="P89" s="17" t="n">
        <v>101.902063941724</v>
      </c>
      <c r="Q89" s="17" t="n"/>
      <c r="R89" s="19" t="n"/>
    </row>
    <row r="90">
      <c r="A90" s="2" t="inlineStr">
        <is>
          <t>HDFCPVTBAN</t>
        </is>
      </c>
      <c r="B90" s="18" t="n">
        <v>46101</v>
      </c>
      <c r="C90" s="19" t="n">
        <v>-0.07577559182791044</v>
      </c>
      <c r="D90" s="18" t="n">
        <v>46104</v>
      </c>
      <c r="E90" s="17" t="n">
        <v>25.73</v>
      </c>
      <c r="F90" s="18" t="n">
        <v>46120</v>
      </c>
      <c r="G90" s="17" t="n">
        <v>27.2738</v>
      </c>
      <c r="H90" s="19" t="n">
        <v>0.06</v>
      </c>
      <c r="I90" s="2" t="n">
        <v>9</v>
      </c>
      <c r="J90" s="2" t="n">
        <v>9</v>
      </c>
      <c r="K90" s="2" t="inlineStr">
        <is>
          <t>CLOSED</t>
        </is>
      </c>
      <c r="L90" s="2" t="inlineStr">
        <is>
          <t>TARGET</t>
        </is>
      </c>
      <c r="M90" s="17" t="n">
        <v>1666.666666666667</v>
      </c>
      <c r="N90" s="17" t="n">
        <v>100</v>
      </c>
      <c r="O90" s="17" t="n">
        <v>1766.666666666667</v>
      </c>
      <c r="P90" s="17" t="n">
        <v>106</v>
      </c>
      <c r="Q90" s="17" t="n"/>
      <c r="R90" s="19" t="n"/>
    </row>
    <row r="91">
      <c r="A91" s="2" t="inlineStr">
        <is>
          <t>HNGSNGBEES</t>
        </is>
      </c>
      <c r="B91" s="18" t="n">
        <v>46104</v>
      </c>
      <c r="C91" s="19" t="n">
        <v>-0.1186903911251261</v>
      </c>
      <c r="D91" s="18" t="n">
        <v>46105</v>
      </c>
      <c r="E91" s="17" t="n">
        <v>464.32</v>
      </c>
      <c r="F91" s="18" t="n">
        <v>46108</v>
      </c>
      <c r="G91" s="17" t="n">
        <v>492.1792</v>
      </c>
      <c r="H91" s="19" t="n">
        <v>0.06</v>
      </c>
      <c r="I91" s="2" t="n">
        <v>2</v>
      </c>
      <c r="J91" s="2" t="n">
        <v>1</v>
      </c>
      <c r="K91" s="2" t="inlineStr">
        <is>
          <t>CLOSED</t>
        </is>
      </c>
      <c r="L91" s="2" t="inlineStr">
        <is>
          <t>TARGET</t>
        </is>
      </c>
      <c r="M91" s="17" t="n">
        <v>1666.666666666667</v>
      </c>
      <c r="N91" s="17" t="n">
        <v>100</v>
      </c>
      <c r="O91" s="17" t="n">
        <v>1766.666666666667</v>
      </c>
      <c r="P91" s="17" t="n">
        <v>106</v>
      </c>
      <c r="Q91" s="17" t="n"/>
      <c r="R91" s="19" t="n"/>
    </row>
    <row r="92">
      <c r="A92" s="2" t="inlineStr">
        <is>
          <t>MOVALUE</t>
        </is>
      </c>
      <c r="B92" s="18" t="n">
        <v>46106</v>
      </c>
      <c r="C92" s="19" t="n">
        <v>-0.06408177411142536</v>
      </c>
      <c r="D92" s="18" t="n">
        <v>46108</v>
      </c>
      <c r="E92" s="17" t="n">
        <v>109.37</v>
      </c>
      <c r="F92" s="18" t="n">
        <v>46127</v>
      </c>
      <c r="G92" s="17" t="n">
        <v>115.9322</v>
      </c>
      <c r="H92" s="19" t="n">
        <v>0.06</v>
      </c>
      <c r="I92" s="2" t="n">
        <v>10</v>
      </c>
      <c r="J92" s="2" t="n">
        <v>6</v>
      </c>
      <c r="K92" s="2" t="inlineStr">
        <is>
          <t>CLOSED</t>
        </is>
      </c>
      <c r="L92" s="2" t="inlineStr">
        <is>
          <t>TARGET</t>
        </is>
      </c>
      <c r="M92" s="17" t="n">
        <v>1666.666666666667</v>
      </c>
      <c r="N92" s="17" t="n">
        <v>100</v>
      </c>
      <c r="O92" s="17" t="n">
        <v>1766.666666666667</v>
      </c>
      <c r="P92" s="17" t="n">
        <v>106</v>
      </c>
      <c r="Q92" s="17" t="n"/>
      <c r="R92" s="19" t="n"/>
    </row>
    <row r="93">
      <c r="A93" s="2" t="inlineStr">
        <is>
          <t>MODEFENCE</t>
        </is>
      </c>
      <c r="B93" s="18" t="n">
        <v>46108</v>
      </c>
      <c r="C93" s="19" t="n">
        <v>-0.08643422542665123</v>
      </c>
      <c r="D93" s="18" t="n">
        <v>46111</v>
      </c>
      <c r="E93" s="17" t="n">
        <v>80.09999999999999</v>
      </c>
      <c r="F93" s="18" t="n">
        <v>46118</v>
      </c>
      <c r="G93" s="17" t="n">
        <v>84.90599999999999</v>
      </c>
      <c r="H93" s="19" t="n">
        <v>0.06</v>
      </c>
      <c r="I93" s="2" t="n">
        <v>3</v>
      </c>
      <c r="J93" s="2" t="n">
        <v>1</v>
      </c>
      <c r="K93" s="2" t="inlineStr">
        <is>
          <t>CLOSED</t>
        </is>
      </c>
      <c r="L93" s="2" t="inlineStr">
        <is>
          <t>TARGET</t>
        </is>
      </c>
      <c r="M93" s="17" t="n">
        <v>1666.666666666667</v>
      </c>
      <c r="N93" s="17" t="n">
        <v>100</v>
      </c>
      <c r="O93" s="17" t="n">
        <v>1766.666666666667</v>
      </c>
      <c r="P93" s="17" t="n">
        <v>106</v>
      </c>
      <c r="Q93" s="17" t="n"/>
      <c r="R93" s="19" t="n"/>
    </row>
    <row r="94">
      <c r="A94" s="2" t="inlineStr">
        <is>
          <t>PSUBNKBEES</t>
        </is>
      </c>
      <c r="B94" s="18" t="n">
        <v>46111</v>
      </c>
      <c r="C94" s="19" t="n">
        <v>-0.1040678556428565</v>
      </c>
      <c r="D94" s="18" t="n">
        <v>46113</v>
      </c>
      <c r="E94" s="17" t="n">
        <v>88.40000000000001</v>
      </c>
      <c r="F94" s="18" t="n">
        <v>46120</v>
      </c>
      <c r="G94" s="17" t="n">
        <v>93.70400000000001</v>
      </c>
      <c r="H94" s="19" t="n">
        <v>0.06</v>
      </c>
      <c r="I94" s="2" t="n">
        <v>4</v>
      </c>
      <c r="J94" s="2" t="n">
        <v>0</v>
      </c>
      <c r="K94" s="2" t="inlineStr">
        <is>
          <t>CLOSED</t>
        </is>
      </c>
      <c r="L94" s="2" t="inlineStr">
        <is>
          <t>TARGET</t>
        </is>
      </c>
      <c r="M94" s="17" t="n">
        <v>1666.666666666667</v>
      </c>
      <c r="N94" s="17" t="n">
        <v>100</v>
      </c>
      <c r="O94" s="17" t="n">
        <v>1766.666666666667</v>
      </c>
      <c r="P94" s="17" t="n">
        <v>106</v>
      </c>
      <c r="Q94" s="17" t="n"/>
      <c r="R94" s="19" t="n"/>
    </row>
    <row r="95">
      <c r="A95" s="2" t="inlineStr">
        <is>
          <t>BANKNIFTY1</t>
        </is>
      </c>
      <c r="B95" s="18" t="n">
        <v>46113</v>
      </c>
      <c r="C95" s="19" t="n">
        <v>-0.06376678769078928</v>
      </c>
      <c r="D95" s="18" t="n">
        <v>46114</v>
      </c>
      <c r="E95" s="17" t="n">
        <v>53.09</v>
      </c>
      <c r="F95" s="18" t="n">
        <v>46120</v>
      </c>
      <c r="G95" s="17" t="n">
        <v>56.2754</v>
      </c>
      <c r="H95" s="19" t="n">
        <v>0.06</v>
      </c>
      <c r="I95" s="2" t="n">
        <v>3</v>
      </c>
      <c r="J95" s="2" t="n">
        <v>2</v>
      </c>
      <c r="K95" s="2" t="inlineStr">
        <is>
          <t>CLOSED</t>
        </is>
      </c>
      <c r="L95" s="2" t="inlineStr">
        <is>
          <t>TARGET</t>
        </is>
      </c>
      <c r="M95" s="17" t="n">
        <v>1666.666666666667</v>
      </c>
      <c r="N95" s="17" t="n">
        <v>100</v>
      </c>
      <c r="O95" s="17" t="n">
        <v>1766.666666666667</v>
      </c>
      <c r="P95" s="17" t="n">
        <v>106</v>
      </c>
      <c r="Q95" s="17" t="n"/>
      <c r="R95" s="19" t="n"/>
    </row>
    <row r="96">
      <c r="A96" s="2" t="inlineStr">
        <is>
          <t>OILIETF</t>
        </is>
      </c>
      <c r="B96" s="18" t="n">
        <v>46118</v>
      </c>
      <c r="C96" s="19" t="n">
        <v>-0.0380105314394443</v>
      </c>
      <c r="D96" s="18" t="n">
        <v>46119</v>
      </c>
      <c r="E96" s="17" t="n">
        <v>10.84</v>
      </c>
      <c r="F96" s="18" t="n">
        <v>46128</v>
      </c>
      <c r="G96" s="17" t="n">
        <v>11.4904</v>
      </c>
      <c r="H96" s="19" t="n">
        <v>0.06</v>
      </c>
      <c r="I96" s="2" t="n">
        <v>6</v>
      </c>
      <c r="J96" s="2" t="n">
        <v>1</v>
      </c>
      <c r="K96" s="2" t="inlineStr">
        <is>
          <t>CLOSED</t>
        </is>
      </c>
      <c r="L96" s="2" t="inlineStr">
        <is>
          <t>TARGET</t>
        </is>
      </c>
      <c r="M96" s="17" t="n">
        <v>1666.666666666667</v>
      </c>
      <c r="N96" s="17" t="n">
        <v>100</v>
      </c>
      <c r="O96" s="17" t="n">
        <v>1526.428380426063</v>
      </c>
      <c r="P96" s="17" t="n">
        <v>91.58570282556389</v>
      </c>
      <c r="Q96" s="17" t="n"/>
      <c r="R96" s="19" t="n"/>
    </row>
    <row r="97">
      <c r="A97" s="2" t="inlineStr">
        <is>
          <t>HEALTHY</t>
        </is>
      </c>
      <c r="B97" s="18" t="n">
        <v>46119</v>
      </c>
      <c r="C97" s="19" t="n">
        <v>-0.0329640728644063</v>
      </c>
      <c r="D97" s="18" t="n">
        <v>46120</v>
      </c>
      <c r="E97" s="17" t="n">
        <v>14.66</v>
      </c>
      <c r="F97" s="18" t="n">
        <v>46136</v>
      </c>
      <c r="G97" s="17" t="n">
        <v>15.5396</v>
      </c>
      <c r="H97" s="19" t="n">
        <v>0.06</v>
      </c>
      <c r="I97" s="2" t="n">
        <v>11</v>
      </c>
      <c r="J97" s="2" t="n">
        <v>5</v>
      </c>
      <c r="K97" s="2" t="inlineStr">
        <is>
          <t>CLOSED</t>
        </is>
      </c>
      <c r="L97" s="2" t="inlineStr">
        <is>
          <t>TARGET</t>
        </is>
      </c>
      <c r="M97" s="17" t="n">
        <v>1666.666666666667</v>
      </c>
      <c r="N97" s="17" t="n">
        <v>100</v>
      </c>
      <c r="O97" s="17" t="n">
        <v>1766.666666666667</v>
      </c>
      <c r="P97" s="17" t="n">
        <v>106</v>
      </c>
      <c r="Q97" s="17" t="n"/>
      <c r="R97" s="19" t="n"/>
    </row>
    <row r="98">
      <c r="A98" s="2" t="inlineStr">
        <is>
          <t>PSUBNKBEES</t>
        </is>
      </c>
      <c r="B98" s="18" t="n">
        <v>46154</v>
      </c>
      <c r="C98" s="19" t="n">
        <v>-0.06934979056477435</v>
      </c>
      <c r="D98" s="18" t="n">
        <v>46155</v>
      </c>
      <c r="E98" s="17" t="n">
        <v>91.8</v>
      </c>
      <c r="F98" s="18" t="n">
        <v>46188</v>
      </c>
      <c r="G98" s="17" t="n">
        <v>97.30800000000001</v>
      </c>
      <c r="H98" s="19" t="n">
        <v>0.06</v>
      </c>
      <c r="I98" s="2" t="n">
        <v>22</v>
      </c>
      <c r="J98" s="2" t="n">
        <v>11</v>
      </c>
      <c r="K98" s="2" t="inlineStr">
        <is>
          <t>CLOSED</t>
        </is>
      </c>
      <c r="L98" s="2" t="inlineStr">
        <is>
          <t>TARGET</t>
        </is>
      </c>
      <c r="M98" s="17" t="n">
        <v>1666.666666666667</v>
      </c>
      <c r="N98" s="17" t="n">
        <v>100</v>
      </c>
      <c r="O98" s="17" t="n">
        <v>1766.666666666667</v>
      </c>
      <c r="P98" s="17" t="n">
        <v>106</v>
      </c>
      <c r="Q98" s="17" t="n"/>
      <c r="R98" s="19" t="n"/>
    </row>
    <row r="99">
      <c r="A99" s="2" t="inlineStr">
        <is>
          <t>PSUBNKIETF</t>
        </is>
      </c>
      <c r="B99" s="18" t="n">
        <v>46157</v>
      </c>
      <c r="C99" s="19" t="n">
        <v>-0.05603151953506366</v>
      </c>
      <c r="D99" s="18" t="n">
        <v>46160</v>
      </c>
      <c r="E99" s="17" t="n">
        <v>81.18000000000001</v>
      </c>
      <c r="F99" s="18" t="n">
        <v>46182</v>
      </c>
      <c r="G99" s="17" t="n">
        <v>86.05080000000001</v>
      </c>
      <c r="H99" s="19" t="n">
        <v>0.06</v>
      </c>
      <c r="I99" s="2" t="n">
        <v>15</v>
      </c>
      <c r="J99" s="2" t="n">
        <v>5</v>
      </c>
      <c r="K99" s="2" t="inlineStr">
        <is>
          <t>CLOSED</t>
        </is>
      </c>
      <c r="L99" s="2" t="inlineStr">
        <is>
          <t>TARGET</t>
        </is>
      </c>
      <c r="M99" s="17" t="n">
        <v>1666.666666666667</v>
      </c>
      <c r="N99" s="17" t="n">
        <v>100</v>
      </c>
      <c r="O99" s="17" t="n">
        <v>1766.666666666667</v>
      </c>
      <c r="P99" s="17" t="n">
        <v>106</v>
      </c>
      <c r="Q99" s="17" t="n"/>
      <c r="R99" s="19" t="n"/>
    </row>
    <row r="100">
      <c r="A100" s="2" t="inlineStr">
        <is>
          <t>MAHKTECH</t>
        </is>
      </c>
      <c r="B100" s="18" t="n">
        <v>46167</v>
      </c>
      <c r="C100" s="19" t="n">
        <v>-0.02662917631491903</v>
      </c>
      <c r="D100" s="18" t="n">
        <v>46168</v>
      </c>
      <c r="E100" s="17" t="n">
        <v>23.91</v>
      </c>
      <c r="F100" s="18" t="n"/>
      <c r="G100" s="17" t="n"/>
      <c r="H100" s="19" t="n"/>
      <c r="I100" s="2" t="n"/>
      <c r="J100" s="2" t="n">
        <v>6</v>
      </c>
      <c r="K100" s="2" t="inlineStr">
        <is>
          <t>OPEN</t>
        </is>
      </c>
      <c r="L100" s="2" t="n"/>
      <c r="M100" s="17" t="n">
        <v>1666.666666666667</v>
      </c>
      <c r="N100" s="17" t="n">
        <v>-56.46173149309904</v>
      </c>
      <c r="O100" s="17" t="n">
        <v>1766.666666666667</v>
      </c>
      <c r="P100" s="17" t="n">
        <v>-59.84943538268498</v>
      </c>
      <c r="Q100" s="17" t="n">
        <v>23.1</v>
      </c>
      <c r="R100" s="19" t="n">
        <v>-0.03387703889585942</v>
      </c>
    </row>
    <row r="101">
      <c r="A101" s="2" t="inlineStr">
        <is>
          <t>CPSEETF</t>
        </is>
      </c>
      <c r="B101" s="18" t="n">
        <v>46168</v>
      </c>
      <c r="C101" s="19" t="n">
        <v>-0.02266422600064163</v>
      </c>
      <c r="D101" s="18" t="n">
        <v>46169</v>
      </c>
      <c r="E101" s="17" t="n">
        <v>103.16</v>
      </c>
      <c r="F101" s="18" t="n">
        <v>46191</v>
      </c>
      <c r="G101" s="17" t="n">
        <v>109.3496</v>
      </c>
      <c r="H101" s="19" t="n">
        <v>0.06</v>
      </c>
      <c r="I101" s="2" t="n">
        <v>15</v>
      </c>
      <c r="J101" s="2" t="n">
        <v>15</v>
      </c>
      <c r="K101" s="2" t="inlineStr">
        <is>
          <t>CLOSED</t>
        </is>
      </c>
      <c r="L101" s="2" t="inlineStr">
        <is>
          <t>TARGET</t>
        </is>
      </c>
      <c r="M101" s="17" t="n">
        <v>1666.666666666667</v>
      </c>
      <c r="N101" s="17" t="n">
        <v>100</v>
      </c>
      <c r="O101" s="17" t="n">
        <v>1596.378987683335</v>
      </c>
      <c r="P101" s="17" t="n">
        <v>95.78273926100019</v>
      </c>
      <c r="Q101" s="17" t="n"/>
      <c r="R101" s="19" t="n"/>
    </row>
    <row r="102">
      <c r="A102" s="2" t="inlineStr">
        <is>
          <t>HNGSNGBEES</t>
        </is>
      </c>
      <c r="B102" s="18" t="n">
        <v>46169</v>
      </c>
      <c r="C102" s="19" t="n">
        <v>-0.02019925737473337</v>
      </c>
      <c r="D102" s="18" t="n">
        <v>46171</v>
      </c>
      <c r="E102" s="17" t="n">
        <v>527.89</v>
      </c>
      <c r="F102" s="18" t="n"/>
      <c r="G102" s="17" t="n"/>
      <c r="H102" s="19" t="n"/>
      <c r="I102" s="2" t="n"/>
      <c r="J102" s="2" t="n"/>
      <c r="K102" s="2" t="inlineStr">
        <is>
          <t>OPEN</t>
        </is>
      </c>
      <c r="L102" s="2" t="n"/>
      <c r="M102" s="17" t="n">
        <v>1666.666666666667</v>
      </c>
      <c r="N102" s="17" t="n">
        <v>-147.3476166120466</v>
      </c>
      <c r="O102" s="17" t="n">
        <v>1599.464294255512</v>
      </c>
      <c r="P102" s="17" t="n">
        <v>-141.4063509687713</v>
      </c>
      <c r="Q102" s="17" t="n">
        <v>481.22</v>
      </c>
      <c r="R102" s="19" t="n">
        <v>-0.08840856996722794</v>
      </c>
    </row>
    <row r="103">
      <c r="A103" s="2" t="inlineStr">
        <is>
          <t>FMCGIETF</t>
        </is>
      </c>
      <c r="B103" s="18" t="n">
        <v>46174</v>
      </c>
      <c r="C103" s="19" t="n">
        <v>-0.04318162908727853</v>
      </c>
      <c r="D103" s="18" t="n">
        <v>46175</v>
      </c>
      <c r="E103" s="17" t="n">
        <v>53.04</v>
      </c>
      <c r="F103" s="18" t="n"/>
      <c r="G103" s="17" t="n"/>
      <c r="H103" s="19" t="n"/>
      <c r="I103" s="2" t="n"/>
      <c r="J103" s="2" t="n">
        <v>23</v>
      </c>
      <c r="K103" s="2" t="inlineStr">
        <is>
          <t>OPEN</t>
        </is>
      </c>
      <c r="L103" s="2" t="n"/>
      <c r="M103" s="17" t="n">
        <v>1666.666666666667</v>
      </c>
      <c r="N103" s="17" t="n">
        <v>-53.10457516339862</v>
      </c>
      <c r="O103" s="17" t="n">
        <v>1409.166666666667</v>
      </c>
      <c r="P103" s="17" t="n">
        <v>-44.89991830065352</v>
      </c>
      <c r="Q103" s="17" t="n">
        <v>51.35</v>
      </c>
      <c r="R103" s="19" t="n">
        <v>-0.03186274509803917</v>
      </c>
    </row>
    <row r="104">
      <c r="A104" s="2" t="inlineStr">
        <is>
          <t>FINIETF</t>
        </is>
      </c>
      <c r="B104" s="18" t="n">
        <v>46176</v>
      </c>
      <c r="C104" s="19" t="n">
        <v>-0.04241534882994809</v>
      </c>
      <c r="D104" s="18" t="n">
        <v>46177</v>
      </c>
      <c r="E104" s="17" t="n">
        <v>30.6</v>
      </c>
      <c r="F104" s="18" t="n">
        <v>46189</v>
      </c>
      <c r="G104" s="17" t="n">
        <v>32.436</v>
      </c>
      <c r="H104" s="19" t="n">
        <v>0.06</v>
      </c>
      <c r="I104" s="2" t="n">
        <v>8</v>
      </c>
      <c r="J104" s="2" t="n">
        <v>7</v>
      </c>
      <c r="K104" s="2" t="inlineStr">
        <is>
          <t>CLOSED</t>
        </is>
      </c>
      <c r="L104" s="2" t="inlineStr">
        <is>
          <t>TARGET</t>
        </is>
      </c>
      <c r="M104" s="17" t="n">
        <v>1666.666666666667</v>
      </c>
      <c r="N104" s="17" t="n">
        <v>100</v>
      </c>
      <c r="O104" s="17" t="n">
        <v>1356.259659969088</v>
      </c>
      <c r="P104" s="17" t="n">
        <v>81.37557959814535</v>
      </c>
      <c r="Q104" s="17" t="n"/>
      <c r="R104" s="19" t="n"/>
    </row>
    <row r="105">
      <c r="A105" s="2" t="inlineStr">
        <is>
          <t>HDFCNIFIT</t>
        </is>
      </c>
      <c r="B105" s="18" t="n">
        <v>46204</v>
      </c>
      <c r="C105" s="19" t="n">
        <v>-0.07736648960235933</v>
      </c>
      <c r="D105" s="18" t="n">
        <v>46205</v>
      </c>
      <c r="E105" s="17" t="n">
        <v>27.55</v>
      </c>
      <c r="F105" s="18" t="n">
        <v>46206</v>
      </c>
      <c r="G105" s="17" t="n">
        <v>29.203</v>
      </c>
      <c r="H105" s="19" t="n">
        <v>0.06</v>
      </c>
      <c r="I105" s="2" t="n">
        <v>1</v>
      </c>
      <c r="J105" s="2" t="n">
        <v>0</v>
      </c>
      <c r="K105" s="2" t="inlineStr">
        <is>
          <t>CLOSED</t>
        </is>
      </c>
      <c r="L105" s="2" t="inlineStr">
        <is>
          <t>TARGET</t>
        </is>
      </c>
      <c r="M105" s="17" t="n">
        <v>1666.666666666667</v>
      </c>
      <c r="N105" s="17" t="n">
        <v>100</v>
      </c>
      <c r="O105" s="17" t="n">
        <v>1766.666666666667</v>
      </c>
      <c r="P105" s="17" t="n">
        <v>106</v>
      </c>
      <c r="Q105" s="17" t="n"/>
      <c r="R105" s="19" t="n"/>
    </row>
    <row r="106">
      <c r="A106" s="2" t="inlineStr">
        <is>
          <t>PSUBNKBEES</t>
        </is>
      </c>
      <c r="B106" s="18" t="n">
        <v>46210</v>
      </c>
      <c r="C106" s="19" t="n">
        <v>-0.02827779638312122</v>
      </c>
      <c r="D106" s="18" t="n">
        <v>46211</v>
      </c>
      <c r="E106" s="17" t="n">
        <v>92.89</v>
      </c>
      <c r="F106" s="18" t="n">
        <v>46241</v>
      </c>
      <c r="G106" s="17" t="n">
        <v>98.46340000000001</v>
      </c>
      <c r="H106" s="19" t="n">
        <v>0.06</v>
      </c>
      <c r="I106" s="2" t="n">
        <v>22</v>
      </c>
      <c r="J106" s="2" t="n">
        <v>8</v>
      </c>
      <c r="K106" s="2" t="inlineStr">
        <is>
          <t>CLOSED</t>
        </is>
      </c>
      <c r="L106" s="2" t="inlineStr">
        <is>
          <t>TARGET</t>
        </is>
      </c>
      <c r="M106" s="17" t="n">
        <v>1666.666666666667</v>
      </c>
      <c r="N106" s="17" t="n">
        <v>100</v>
      </c>
      <c r="O106" s="17" t="n">
        <v>1766.666666666667</v>
      </c>
      <c r="P106" s="17" t="n">
        <v>106</v>
      </c>
      <c r="Q106" s="17" t="n"/>
      <c r="R106" s="19" t="n"/>
    </row>
    <row r="107">
      <c r="A107" s="2" t="inlineStr">
        <is>
          <t>PSUBNKIETF</t>
        </is>
      </c>
      <c r="B107" s="18" t="n">
        <v>46211</v>
      </c>
      <c r="C107" s="19" t="n">
        <v>-0.05208561956358512</v>
      </c>
      <c r="D107" s="18" t="n">
        <v>46212</v>
      </c>
      <c r="E107" s="17" t="n">
        <v>83.06</v>
      </c>
      <c r="F107" s="18" t="n">
        <v>46224</v>
      </c>
      <c r="G107" s="17" t="n">
        <v>88.04360000000001</v>
      </c>
      <c r="H107" s="19" t="n">
        <v>0.06</v>
      </c>
      <c r="I107" s="2" t="n">
        <v>8</v>
      </c>
      <c r="J107" s="2" t="n">
        <v>1</v>
      </c>
      <c r="K107" s="2" t="inlineStr">
        <is>
          <t>CLOSED</t>
        </is>
      </c>
      <c r="L107" s="2" t="inlineStr">
        <is>
          <t>TARGET</t>
        </is>
      </c>
      <c r="M107" s="17" t="n">
        <v>1666.666666666667</v>
      </c>
      <c r="N107" s="17" t="n">
        <v>100</v>
      </c>
      <c r="O107" s="17" t="n">
        <v>1413.61388636593</v>
      </c>
      <c r="P107" s="17" t="n">
        <v>84.81683318195587</v>
      </c>
      <c r="Q107" s="17" t="n"/>
      <c r="R107" s="19" t="n"/>
    </row>
    <row r="108">
      <c r="A108" s="2" t="inlineStr">
        <is>
          <t>ICICIB22</t>
        </is>
      </c>
      <c r="B108" s="18" t="n">
        <v>46218</v>
      </c>
      <c r="C108" s="19" t="n">
        <v>-0.02434912352427964</v>
      </c>
      <c r="D108" s="18" t="n">
        <v>46219</v>
      </c>
      <c r="E108" s="17" t="n">
        <v>115</v>
      </c>
      <c r="F108" s="18" t="n"/>
      <c r="G108" s="17" t="n"/>
      <c r="H108" s="19" t="n"/>
      <c r="I108" s="2" t="n"/>
      <c r="J108" s="2" t="n">
        <v>13</v>
      </c>
      <c r="K108" s="2" t="inlineStr">
        <is>
          <t>OPEN</t>
        </is>
      </c>
      <c r="L108" s="2" t="n"/>
      <c r="M108" s="17" t="n">
        <v>1666.666666666667</v>
      </c>
      <c r="N108" s="17" t="n">
        <v>7.101449275362245</v>
      </c>
      <c r="O108" s="17" t="n">
        <v>1392.051282051282</v>
      </c>
      <c r="P108" s="17" t="n">
        <v>5.931348940914096</v>
      </c>
      <c r="Q108" s="17" t="n">
        <v>115.49</v>
      </c>
      <c r="R108" s="19" t="n">
        <v>0.004260869565217346</v>
      </c>
    </row>
    <row r="109">
      <c r="A109" s="2" t="inlineStr">
        <is>
          <t>MOMENTUM</t>
        </is>
      </c>
      <c r="B109" s="18" t="n">
        <v>46220</v>
      </c>
      <c r="C109" s="19" t="n">
        <v>-0.02014696187673854</v>
      </c>
      <c r="D109" s="18" t="n">
        <v>46223</v>
      </c>
      <c r="E109" s="17" t="n">
        <v>30.4</v>
      </c>
      <c r="F109" s="18" t="n">
        <v>46248</v>
      </c>
      <c r="G109" s="17" t="n">
        <v>32.224</v>
      </c>
      <c r="H109" s="19" t="n">
        <v>0.06</v>
      </c>
      <c r="I109" s="2" t="n">
        <v>19</v>
      </c>
      <c r="J109" s="2" t="n">
        <v>1</v>
      </c>
      <c r="K109" s="2" t="inlineStr">
        <is>
          <t>CLOSED</t>
        </is>
      </c>
      <c r="L109" s="2" t="inlineStr">
        <is>
          <t>TARGET</t>
        </is>
      </c>
      <c r="M109" s="17" t="n">
        <v>1666.666666666667</v>
      </c>
      <c r="N109" s="17" t="n">
        <v>100</v>
      </c>
      <c r="O109" s="17" t="n">
        <v>1381.447421031587</v>
      </c>
      <c r="P109" s="17" t="n">
        <v>82.88684526189536</v>
      </c>
      <c r="Q109" s="17" t="n"/>
      <c r="R109" s="19" t="n"/>
    </row>
    <row r="110">
      <c r="A110" s="2" t="inlineStr">
        <is>
          <t>MONQ50</t>
        </is>
      </c>
      <c r="B110" s="18" t="n">
        <v>46223</v>
      </c>
      <c r="C110" s="19" t="n">
        <v>-0.02467681015685191</v>
      </c>
      <c r="D110" s="18" t="n">
        <v>46224</v>
      </c>
      <c r="E110" s="17" t="n">
        <v>140.43</v>
      </c>
      <c r="F110" s="18" t="n">
        <v>46245</v>
      </c>
      <c r="G110" s="17" t="n">
        <v>148.8558</v>
      </c>
      <c r="H110" s="19" t="n">
        <v>0.06</v>
      </c>
      <c r="I110" s="2" t="n">
        <v>15</v>
      </c>
      <c r="J110" s="2" t="n">
        <v>12</v>
      </c>
      <c r="K110" s="2" t="inlineStr">
        <is>
          <t>CLOSED</t>
        </is>
      </c>
      <c r="L110" s="2" t="inlineStr">
        <is>
          <t>TARGET</t>
        </is>
      </c>
      <c r="M110" s="17" t="n">
        <v>1666.666666666667</v>
      </c>
      <c r="N110" s="17" t="n">
        <v>100</v>
      </c>
      <c r="O110" s="17" t="n">
        <v>1375.318066157761</v>
      </c>
      <c r="P110" s="17" t="n">
        <v>82.51908396946578</v>
      </c>
      <c r="Q110" s="17" t="n"/>
      <c r="R110" s="19" t="n"/>
    </row>
    <row r="111">
      <c r="A111" s="2" t="inlineStr">
        <is>
          <t>PVTBANIETF</t>
        </is>
      </c>
      <c r="B111" s="18" t="n">
        <v>46226</v>
      </c>
      <c r="C111" s="19" t="n">
        <v>-0.0275028280542986</v>
      </c>
      <c r="D111" s="18" t="n">
        <v>46227</v>
      </c>
      <c r="E111" s="17" t="n">
        <v>27.98</v>
      </c>
      <c r="F111" s="18" t="n"/>
      <c r="G111" s="17" t="n"/>
      <c r="H111" s="19" t="n"/>
      <c r="I111" s="2" t="n"/>
      <c r="J111" s="2" t="n"/>
      <c r="K111" s="2" t="inlineStr">
        <is>
          <t>OPEN</t>
        </is>
      </c>
      <c r="L111" s="2" t="n"/>
      <c r="M111" s="17" t="n">
        <v>1666.666666666667</v>
      </c>
      <c r="N111" s="17" t="n">
        <v>-18.46557064569923</v>
      </c>
      <c r="O111" s="17" t="n">
        <v>1766.666666666667</v>
      </c>
      <c r="P111" s="17" t="n">
        <v>-19.57350488444119</v>
      </c>
      <c r="Q111" s="17" t="n">
        <v>27.67</v>
      </c>
      <c r="R111" s="19" t="n">
        <v>-0.01107934238741954</v>
      </c>
    </row>
    <row r="112">
      <c r="A112" s="2" t="inlineStr">
        <is>
          <t>BFSI</t>
        </is>
      </c>
      <c r="B112" s="18" t="n">
        <v>46227</v>
      </c>
      <c r="C112" s="19" t="n">
        <v>-0.02482269503546112</v>
      </c>
      <c r="D112" s="18" t="n">
        <v>46230</v>
      </c>
      <c r="E112" s="17" t="n">
        <v>27.26</v>
      </c>
      <c r="F112" s="18" t="n"/>
      <c r="G112" s="17" t="n"/>
      <c r="H112" s="19" t="n"/>
      <c r="I112" s="2" t="n"/>
      <c r="J112" s="2" t="n">
        <v>5</v>
      </c>
      <c r="K112" s="2" t="inlineStr">
        <is>
          <t>OPEN</t>
        </is>
      </c>
      <c r="L112" s="2" t="n"/>
      <c r="M112" s="17" t="n">
        <v>1666.666666666667</v>
      </c>
      <c r="N112" s="17" t="n">
        <v>-2.445585717779573</v>
      </c>
      <c r="O112" s="17" t="n">
        <v>1766.666666666667</v>
      </c>
      <c r="P112" s="17" t="n">
        <v>-2.592320860846347</v>
      </c>
      <c r="Q112" s="17" t="n">
        <v>27.22</v>
      </c>
      <c r="R112" s="19" t="n">
        <v>-0.001467351430667744</v>
      </c>
    </row>
    <row r="113">
      <c r="A113" s="2" t="inlineStr">
        <is>
          <t>MON100</t>
        </is>
      </c>
      <c r="B113" s="18" t="n">
        <v>46231</v>
      </c>
      <c r="C113" s="19" t="n">
        <v>-0.02952917872923967</v>
      </c>
      <c r="D113" s="18" t="n">
        <v>46232</v>
      </c>
      <c r="E113" s="17" t="n">
        <v>315.36</v>
      </c>
      <c r="F113" s="18" t="n">
        <v>46251</v>
      </c>
      <c r="G113" s="17" t="n">
        <v>334.2816</v>
      </c>
      <c r="H113" s="19" t="n">
        <v>0.06</v>
      </c>
      <c r="I113" s="2" t="n">
        <v>13</v>
      </c>
      <c r="J113" s="2" t="n">
        <v>6</v>
      </c>
      <c r="K113" s="2" t="inlineStr">
        <is>
          <t>CLOSED</t>
        </is>
      </c>
      <c r="L113" s="2" t="inlineStr">
        <is>
          <t>TARGET</t>
        </is>
      </c>
      <c r="M113" s="17" t="n">
        <v>1666.666666666667</v>
      </c>
      <c r="N113" s="17" t="n">
        <v>100</v>
      </c>
      <c r="O113" s="17" t="n">
        <v>1766.666666666667</v>
      </c>
      <c r="P113" s="17" t="n">
        <v>106</v>
      </c>
      <c r="Q113" s="17" t="n"/>
      <c r="R113" s="19" t="n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2026-08-19T12:15:22Z</dcterms:created>
  <dcterms:modified xsi:type="dcterms:W3CDTF">2026-08-19T18:08:13Z</dcterms:modified>
  <cp:lastModifiedBy>Ankith KR</cp:lastModifiedBy>
</cp:coreProperties>
</file>